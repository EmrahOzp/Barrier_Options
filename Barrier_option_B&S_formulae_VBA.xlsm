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bruiker\Documents\"/>
    </mc:Choice>
  </mc:AlternateContent>
  <bookViews>
    <workbookView xWindow="0" yWindow="0" windowWidth="24000" windowHeight="9510"/>
  </bookViews>
  <sheets>
    <sheet name="CALL" sheetId="1" r:id="rId1"/>
    <sheet name="PUT" sheetId="2" r:id="rId2"/>
  </sheets>
  <functionGroups builtInGroupCount="19"/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2" i="2" l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" i="2"/>
  <c r="U11" i="2" s="1"/>
  <c r="U9" i="2"/>
  <c r="U8" i="2"/>
  <c r="O12" i="2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9" i="2"/>
  <c r="O10" i="2" s="1"/>
  <c r="O11" i="2" s="1"/>
  <c r="O8" i="2"/>
  <c r="I37" i="2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2" i="2"/>
  <c r="I13" i="2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9" i="2"/>
  <c r="I10" i="2" s="1"/>
  <c r="I11" i="2" s="1"/>
  <c r="I8" i="2"/>
  <c r="U7" i="2"/>
  <c r="O7" i="2"/>
  <c r="I7" i="2"/>
  <c r="C7" i="2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U7" i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O7" i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I12" i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9" i="1"/>
  <c r="I10" i="1" s="1"/>
  <c r="I11" i="1" s="1"/>
  <c r="I8" i="1"/>
  <c r="I7" i="1"/>
  <c r="C52" i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22" i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8" i="1"/>
  <c r="C7" i="1"/>
  <c r="W12" i="2"/>
  <c r="W16" i="2"/>
  <c r="W20" i="2"/>
  <c r="W24" i="2"/>
  <c r="W28" i="2"/>
  <c r="W32" i="2"/>
  <c r="W36" i="2"/>
  <c r="W40" i="2"/>
  <c r="W44" i="2"/>
  <c r="W48" i="2"/>
  <c r="W52" i="2"/>
  <c r="W56" i="2"/>
  <c r="W60" i="2"/>
  <c r="W64" i="2"/>
  <c r="W68" i="2"/>
  <c r="W72" i="2"/>
  <c r="W76" i="2"/>
  <c r="W80" i="2"/>
  <c r="W84" i="2"/>
  <c r="W88" i="2"/>
  <c r="W92" i="2"/>
  <c r="W96" i="2"/>
  <c r="W100" i="2"/>
  <c r="W104" i="2"/>
  <c r="W15" i="2"/>
  <c r="W27" i="2"/>
  <c r="W35" i="2"/>
  <c r="W43" i="2"/>
  <c r="W51" i="2"/>
  <c r="W59" i="2"/>
  <c r="W67" i="2"/>
  <c r="W75" i="2"/>
  <c r="W79" i="2"/>
  <c r="W91" i="2"/>
  <c r="W99" i="2"/>
  <c r="W103" i="2"/>
  <c r="W13" i="2"/>
  <c r="W17" i="2"/>
  <c r="W21" i="2"/>
  <c r="W25" i="2"/>
  <c r="W29" i="2"/>
  <c r="W33" i="2"/>
  <c r="W37" i="2"/>
  <c r="W41" i="2"/>
  <c r="W45" i="2"/>
  <c r="W49" i="2"/>
  <c r="W53" i="2"/>
  <c r="W57" i="2"/>
  <c r="W61" i="2"/>
  <c r="W65" i="2"/>
  <c r="W69" i="2"/>
  <c r="W73" i="2"/>
  <c r="W77" i="2"/>
  <c r="W81" i="2"/>
  <c r="W85" i="2"/>
  <c r="W89" i="2"/>
  <c r="W93" i="2"/>
  <c r="W97" i="2"/>
  <c r="W101" i="2"/>
  <c r="W105" i="2"/>
  <c r="W19" i="2"/>
  <c r="W23" i="2"/>
  <c r="W31" i="2"/>
  <c r="W39" i="2"/>
  <c r="W47" i="2"/>
  <c r="W55" i="2"/>
  <c r="W63" i="2"/>
  <c r="W71" i="2"/>
  <c r="W83" i="2"/>
  <c r="W87" i="2"/>
  <c r="W95" i="2"/>
  <c r="W14" i="2"/>
  <c r="W18" i="2"/>
  <c r="W22" i="2"/>
  <c r="W26" i="2"/>
  <c r="W30" i="2"/>
  <c r="W34" i="2"/>
  <c r="W38" i="2"/>
  <c r="W42" i="2"/>
  <c r="W46" i="2"/>
  <c r="W50" i="2"/>
  <c r="W54" i="2"/>
  <c r="W58" i="2"/>
  <c r="W62" i="2"/>
  <c r="W66" i="2"/>
  <c r="W70" i="2"/>
  <c r="W74" i="2"/>
  <c r="W78" i="2"/>
  <c r="W82" i="2"/>
  <c r="W86" i="2"/>
  <c r="W90" i="2"/>
  <c r="W94" i="2"/>
  <c r="W98" i="2"/>
  <c r="W102" i="2"/>
  <c r="W106" i="2"/>
  <c r="W7" i="2"/>
  <c r="W11" i="2"/>
  <c r="W10" i="2"/>
  <c r="W8" i="2"/>
  <c r="W9" i="2"/>
  <c r="W6" i="2"/>
  <c r="V12" i="2"/>
  <c r="V16" i="2"/>
  <c r="V20" i="2"/>
  <c r="V24" i="2"/>
  <c r="V28" i="2"/>
  <c r="V32" i="2"/>
  <c r="V36" i="2"/>
  <c r="V40" i="2"/>
  <c r="V44" i="2"/>
  <c r="V48" i="2"/>
  <c r="V52" i="2"/>
  <c r="V56" i="2"/>
  <c r="V60" i="2"/>
  <c r="V64" i="2"/>
  <c r="V68" i="2"/>
  <c r="V72" i="2"/>
  <c r="V76" i="2"/>
  <c r="V80" i="2"/>
  <c r="V84" i="2"/>
  <c r="V88" i="2"/>
  <c r="V92" i="2"/>
  <c r="V96" i="2"/>
  <c r="V100" i="2"/>
  <c r="V104" i="2"/>
  <c r="V19" i="2"/>
  <c r="V31" i="2"/>
  <c r="V39" i="2"/>
  <c r="V47" i="2"/>
  <c r="V55" i="2"/>
  <c r="V63" i="2"/>
  <c r="V71" i="2"/>
  <c r="V79" i="2"/>
  <c r="V87" i="2"/>
  <c r="V95" i="2"/>
  <c r="V103" i="2"/>
  <c r="V13" i="2"/>
  <c r="V17" i="2"/>
  <c r="V21" i="2"/>
  <c r="V25" i="2"/>
  <c r="V29" i="2"/>
  <c r="V33" i="2"/>
  <c r="V37" i="2"/>
  <c r="V41" i="2"/>
  <c r="V45" i="2"/>
  <c r="V49" i="2"/>
  <c r="V53" i="2"/>
  <c r="V57" i="2"/>
  <c r="V61" i="2"/>
  <c r="V65" i="2"/>
  <c r="V69" i="2"/>
  <c r="V73" i="2"/>
  <c r="V77" i="2"/>
  <c r="V81" i="2"/>
  <c r="V85" i="2"/>
  <c r="V89" i="2"/>
  <c r="V93" i="2"/>
  <c r="V97" i="2"/>
  <c r="V101" i="2"/>
  <c r="V105" i="2"/>
  <c r="V23" i="2"/>
  <c r="V14" i="2"/>
  <c r="V18" i="2"/>
  <c r="V22" i="2"/>
  <c r="V26" i="2"/>
  <c r="V30" i="2"/>
  <c r="V34" i="2"/>
  <c r="V38" i="2"/>
  <c r="V42" i="2"/>
  <c r="V46" i="2"/>
  <c r="V50" i="2"/>
  <c r="V54" i="2"/>
  <c r="V58" i="2"/>
  <c r="V62" i="2"/>
  <c r="V66" i="2"/>
  <c r="V70" i="2"/>
  <c r="V74" i="2"/>
  <c r="V78" i="2"/>
  <c r="V82" i="2"/>
  <c r="V86" i="2"/>
  <c r="V90" i="2"/>
  <c r="V94" i="2"/>
  <c r="V98" i="2"/>
  <c r="V102" i="2"/>
  <c r="V106" i="2"/>
  <c r="V15" i="2"/>
  <c r="V27" i="2"/>
  <c r="V35" i="2"/>
  <c r="V43" i="2"/>
  <c r="V51" i="2"/>
  <c r="V59" i="2"/>
  <c r="V67" i="2"/>
  <c r="V75" i="2"/>
  <c r="V83" i="2"/>
  <c r="V91" i="2"/>
  <c r="V99" i="2"/>
  <c r="V7" i="2"/>
  <c r="V8" i="2"/>
  <c r="V10" i="2"/>
  <c r="V11" i="2"/>
  <c r="V9" i="2"/>
  <c r="V6" i="2"/>
  <c r="Q12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6" i="2"/>
  <c r="Q100" i="2"/>
  <c r="Q104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3" i="2"/>
  <c r="Q77" i="2"/>
  <c r="Q81" i="2"/>
  <c r="Q85" i="2"/>
  <c r="Q89" i="2"/>
  <c r="Q93" i="2"/>
  <c r="Q97" i="2"/>
  <c r="Q101" i="2"/>
  <c r="Q105" i="2"/>
  <c r="Q14" i="2"/>
  <c r="Q18" i="2"/>
  <c r="Q22" i="2"/>
  <c r="Q26" i="2"/>
  <c r="Q30" i="2"/>
  <c r="Q34" i="2"/>
  <c r="Q38" i="2"/>
  <c r="Q42" i="2"/>
  <c r="Q46" i="2"/>
  <c r="Q50" i="2"/>
  <c r="Q54" i="2"/>
  <c r="Q58" i="2"/>
  <c r="Q62" i="2"/>
  <c r="Q66" i="2"/>
  <c r="Q70" i="2"/>
  <c r="Q74" i="2"/>
  <c r="Q78" i="2"/>
  <c r="Q82" i="2"/>
  <c r="Q86" i="2"/>
  <c r="Q90" i="2"/>
  <c r="Q94" i="2"/>
  <c r="Q98" i="2"/>
  <c r="Q102" i="2"/>
  <c r="Q106" i="2"/>
  <c r="Q15" i="2"/>
  <c r="Q19" i="2"/>
  <c r="Q23" i="2"/>
  <c r="Q27" i="2"/>
  <c r="Q31" i="2"/>
  <c r="Q35" i="2"/>
  <c r="Q39" i="2"/>
  <c r="Q43" i="2"/>
  <c r="Q47" i="2"/>
  <c r="Q51" i="2"/>
  <c r="Q55" i="2"/>
  <c r="Q59" i="2"/>
  <c r="Q63" i="2"/>
  <c r="Q67" i="2"/>
  <c r="Q71" i="2"/>
  <c r="Q75" i="2"/>
  <c r="Q79" i="2"/>
  <c r="Q83" i="2"/>
  <c r="Q87" i="2"/>
  <c r="Q91" i="2"/>
  <c r="Q95" i="2"/>
  <c r="Q99" i="2"/>
  <c r="Q103" i="2"/>
  <c r="Q7" i="2"/>
  <c r="Q11" i="2"/>
  <c r="Q8" i="2"/>
  <c r="Q9" i="2"/>
  <c r="Q10" i="2"/>
  <c r="Q6" i="2"/>
  <c r="P12" i="2"/>
  <c r="P16" i="2"/>
  <c r="P20" i="2"/>
  <c r="P24" i="2"/>
  <c r="P28" i="2"/>
  <c r="P32" i="2"/>
  <c r="P36" i="2"/>
  <c r="P40" i="2"/>
  <c r="P44" i="2"/>
  <c r="P48" i="2"/>
  <c r="P52" i="2"/>
  <c r="P56" i="2"/>
  <c r="P60" i="2"/>
  <c r="P64" i="2"/>
  <c r="P68" i="2"/>
  <c r="P72" i="2"/>
  <c r="P76" i="2"/>
  <c r="P80" i="2"/>
  <c r="P84" i="2"/>
  <c r="P88" i="2"/>
  <c r="P92" i="2"/>
  <c r="P96" i="2"/>
  <c r="P100" i="2"/>
  <c r="P104" i="2"/>
  <c r="P23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105" i="2"/>
  <c r="P19" i="2"/>
  <c r="P31" i="2"/>
  <c r="P39" i="2"/>
  <c r="P47" i="2"/>
  <c r="P55" i="2"/>
  <c r="P63" i="2"/>
  <c r="P71" i="2"/>
  <c r="P79" i="2"/>
  <c r="P87" i="2"/>
  <c r="P95" i="2"/>
  <c r="P103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6" i="2"/>
  <c r="P15" i="2"/>
  <c r="P27" i="2"/>
  <c r="P35" i="2"/>
  <c r="P43" i="2"/>
  <c r="P51" i="2"/>
  <c r="P59" i="2"/>
  <c r="P67" i="2"/>
  <c r="P75" i="2"/>
  <c r="P83" i="2"/>
  <c r="P91" i="2"/>
  <c r="P99" i="2"/>
  <c r="P7" i="2"/>
  <c r="P11" i="2"/>
  <c r="P8" i="2"/>
  <c r="P9" i="2"/>
  <c r="P10" i="2"/>
  <c r="P6" i="2"/>
  <c r="K12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2" i="2"/>
  <c r="K96" i="2"/>
  <c r="K100" i="2"/>
  <c r="K104" i="2"/>
  <c r="K18" i="2"/>
  <c r="K42" i="2"/>
  <c r="K50" i="2"/>
  <c r="K62" i="2"/>
  <c r="K70" i="2"/>
  <c r="K78" i="2"/>
  <c r="K86" i="2"/>
  <c r="K94" i="2"/>
  <c r="K106" i="2"/>
  <c r="K15" i="2"/>
  <c r="K39" i="2"/>
  <c r="K47" i="2"/>
  <c r="K55" i="2"/>
  <c r="K63" i="2"/>
  <c r="K71" i="2"/>
  <c r="K83" i="2"/>
  <c r="K91" i="2"/>
  <c r="K103" i="2"/>
  <c r="K13" i="2"/>
  <c r="K17" i="2"/>
  <c r="K21" i="2"/>
  <c r="K25" i="2"/>
  <c r="K29" i="2"/>
  <c r="K33" i="2"/>
  <c r="K37" i="2"/>
  <c r="K41" i="2"/>
  <c r="K45" i="2"/>
  <c r="K49" i="2"/>
  <c r="K53" i="2"/>
  <c r="K57" i="2"/>
  <c r="K61" i="2"/>
  <c r="K65" i="2"/>
  <c r="K69" i="2"/>
  <c r="K73" i="2"/>
  <c r="K77" i="2"/>
  <c r="K81" i="2"/>
  <c r="K85" i="2"/>
  <c r="K89" i="2"/>
  <c r="K93" i="2"/>
  <c r="K97" i="2"/>
  <c r="K101" i="2"/>
  <c r="K105" i="2"/>
  <c r="K14" i="2"/>
  <c r="K22" i="2"/>
  <c r="K26" i="2"/>
  <c r="K30" i="2"/>
  <c r="K34" i="2"/>
  <c r="K38" i="2"/>
  <c r="K46" i="2"/>
  <c r="K54" i="2"/>
  <c r="K58" i="2"/>
  <c r="K66" i="2"/>
  <c r="K74" i="2"/>
  <c r="K82" i="2"/>
  <c r="K90" i="2"/>
  <c r="K98" i="2"/>
  <c r="K102" i="2"/>
  <c r="K19" i="2"/>
  <c r="K23" i="2"/>
  <c r="K27" i="2"/>
  <c r="K31" i="2"/>
  <c r="K35" i="2"/>
  <c r="K43" i="2"/>
  <c r="K51" i="2"/>
  <c r="K59" i="2"/>
  <c r="K67" i="2"/>
  <c r="K75" i="2"/>
  <c r="K79" i="2"/>
  <c r="K87" i="2"/>
  <c r="K95" i="2"/>
  <c r="K99" i="2"/>
  <c r="K7" i="2"/>
  <c r="K11" i="2"/>
  <c r="K8" i="2"/>
  <c r="K9" i="2"/>
  <c r="K10" i="2"/>
  <c r="K6" i="2"/>
  <c r="J12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6" i="2"/>
  <c r="J80" i="2"/>
  <c r="J84" i="2"/>
  <c r="J88" i="2"/>
  <c r="J92" i="2"/>
  <c r="J96" i="2"/>
  <c r="J100" i="2"/>
  <c r="J104" i="2"/>
  <c r="J23" i="2"/>
  <c r="J13" i="2"/>
  <c r="J17" i="2"/>
  <c r="J21" i="2"/>
  <c r="J25" i="2"/>
  <c r="J29" i="2"/>
  <c r="J33" i="2"/>
  <c r="J37" i="2"/>
  <c r="J41" i="2"/>
  <c r="J45" i="2"/>
  <c r="J49" i="2"/>
  <c r="J53" i="2"/>
  <c r="J57" i="2"/>
  <c r="J61" i="2"/>
  <c r="J65" i="2"/>
  <c r="J69" i="2"/>
  <c r="J73" i="2"/>
  <c r="J77" i="2"/>
  <c r="J81" i="2"/>
  <c r="J85" i="2"/>
  <c r="J89" i="2"/>
  <c r="J93" i="2"/>
  <c r="J97" i="2"/>
  <c r="J101" i="2"/>
  <c r="J105" i="2"/>
  <c r="J19" i="2"/>
  <c r="J27" i="2"/>
  <c r="J35" i="2"/>
  <c r="J43" i="2"/>
  <c r="J51" i="2"/>
  <c r="J59" i="2"/>
  <c r="J67" i="2"/>
  <c r="J75" i="2"/>
  <c r="J83" i="2"/>
  <c r="J91" i="2"/>
  <c r="J99" i="2"/>
  <c r="J14" i="2"/>
  <c r="J18" i="2"/>
  <c r="J22" i="2"/>
  <c r="J26" i="2"/>
  <c r="J30" i="2"/>
  <c r="J34" i="2"/>
  <c r="J38" i="2"/>
  <c r="J42" i="2"/>
  <c r="J46" i="2"/>
  <c r="J50" i="2"/>
  <c r="J54" i="2"/>
  <c r="J58" i="2"/>
  <c r="J62" i="2"/>
  <c r="J66" i="2"/>
  <c r="J70" i="2"/>
  <c r="J74" i="2"/>
  <c r="J78" i="2"/>
  <c r="J82" i="2"/>
  <c r="J86" i="2"/>
  <c r="J90" i="2"/>
  <c r="J94" i="2"/>
  <c r="J98" i="2"/>
  <c r="J102" i="2"/>
  <c r="J106" i="2"/>
  <c r="J15" i="2"/>
  <c r="J31" i="2"/>
  <c r="J39" i="2"/>
  <c r="J47" i="2"/>
  <c r="J55" i="2"/>
  <c r="J63" i="2"/>
  <c r="J71" i="2"/>
  <c r="J79" i="2"/>
  <c r="J87" i="2"/>
  <c r="J95" i="2"/>
  <c r="J103" i="2"/>
  <c r="J7" i="2"/>
  <c r="J11" i="2"/>
  <c r="J8" i="2"/>
  <c r="J9" i="2"/>
  <c r="J10" i="2"/>
  <c r="J6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23" i="2"/>
  <c r="E9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9" i="2"/>
  <c r="E31" i="2"/>
  <c r="E39" i="2"/>
  <c r="E47" i="2"/>
  <c r="E51" i="2"/>
  <c r="E59" i="2"/>
  <c r="E67" i="2"/>
  <c r="E75" i="2"/>
  <c r="E83" i="2"/>
  <c r="E91" i="2"/>
  <c r="E103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5" i="2"/>
  <c r="E27" i="2"/>
  <c r="E35" i="2"/>
  <c r="E43" i="2"/>
  <c r="E55" i="2"/>
  <c r="E63" i="2"/>
  <c r="E71" i="2"/>
  <c r="E79" i="2"/>
  <c r="E87" i="2"/>
  <c r="E95" i="2"/>
  <c r="E7" i="2"/>
  <c r="E11" i="2"/>
  <c r="E8" i="2"/>
  <c r="E9" i="2"/>
  <c r="E10" i="2"/>
  <c r="E6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8" i="2"/>
  <c r="D22" i="2"/>
  <c r="D26" i="2"/>
  <c r="D30" i="2"/>
  <c r="D38" i="2"/>
  <c r="D46" i="2"/>
  <c r="D50" i="2"/>
  <c r="D58" i="2"/>
  <c r="D66" i="2"/>
  <c r="D74" i="2"/>
  <c r="D82" i="2"/>
  <c r="D86" i="2"/>
  <c r="D94" i="2"/>
  <c r="D102" i="2"/>
  <c r="D19" i="2"/>
  <c r="D23" i="2"/>
  <c r="D27" i="2"/>
  <c r="D35" i="2"/>
  <c r="D43" i="2"/>
  <c r="D47" i="2"/>
  <c r="D55" i="2"/>
  <c r="D63" i="2"/>
  <c r="D71" i="2"/>
  <c r="D79" i="2"/>
  <c r="D87" i="2"/>
  <c r="D95" i="2"/>
  <c r="D103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4" i="2"/>
  <c r="D34" i="2"/>
  <c r="D42" i="2"/>
  <c r="D54" i="2"/>
  <c r="D62" i="2"/>
  <c r="D70" i="2"/>
  <c r="D78" i="2"/>
  <c r="D90" i="2"/>
  <c r="D98" i="2"/>
  <c r="D106" i="2"/>
  <c r="D15" i="2"/>
  <c r="D31" i="2"/>
  <c r="D39" i="2"/>
  <c r="D51" i="2"/>
  <c r="D59" i="2"/>
  <c r="D67" i="2"/>
  <c r="D75" i="2"/>
  <c r="D83" i="2"/>
  <c r="D91" i="2"/>
  <c r="D99" i="2"/>
  <c r="D7" i="2"/>
  <c r="D11" i="2"/>
  <c r="D8" i="2"/>
  <c r="D9" i="2"/>
  <c r="D10" i="2"/>
  <c r="D6" i="2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72" i="1"/>
  <c r="W76" i="1"/>
  <c r="W80" i="1"/>
  <c r="W84" i="1"/>
  <c r="W88" i="1"/>
  <c r="W92" i="1"/>
  <c r="W96" i="1"/>
  <c r="W100" i="1"/>
  <c r="W104" i="1"/>
  <c r="W23" i="1"/>
  <c r="W13" i="1"/>
  <c r="W17" i="1"/>
  <c r="W21" i="1"/>
  <c r="W25" i="1"/>
  <c r="W29" i="1"/>
  <c r="W33" i="1"/>
  <c r="W37" i="1"/>
  <c r="W41" i="1"/>
  <c r="W45" i="1"/>
  <c r="W49" i="1"/>
  <c r="W53" i="1"/>
  <c r="W57" i="1"/>
  <c r="W61" i="1"/>
  <c r="W65" i="1"/>
  <c r="W69" i="1"/>
  <c r="W73" i="1"/>
  <c r="W77" i="1"/>
  <c r="W81" i="1"/>
  <c r="W85" i="1"/>
  <c r="W89" i="1"/>
  <c r="W93" i="1"/>
  <c r="W97" i="1"/>
  <c r="W101" i="1"/>
  <c r="W105" i="1"/>
  <c r="W19" i="1"/>
  <c r="W31" i="1"/>
  <c r="W39" i="1"/>
  <c r="W47" i="1"/>
  <c r="W51" i="1"/>
  <c r="W59" i="1"/>
  <c r="W67" i="1"/>
  <c r="W75" i="1"/>
  <c r="W83" i="1"/>
  <c r="W91" i="1"/>
  <c r="W99" i="1"/>
  <c r="W14" i="1"/>
  <c r="W18" i="1"/>
  <c r="W22" i="1"/>
  <c r="W26" i="1"/>
  <c r="W30" i="1"/>
  <c r="W34" i="1"/>
  <c r="W38" i="1"/>
  <c r="W42" i="1"/>
  <c r="W46" i="1"/>
  <c r="W50" i="1"/>
  <c r="W54" i="1"/>
  <c r="W58" i="1"/>
  <c r="W62" i="1"/>
  <c r="W66" i="1"/>
  <c r="W70" i="1"/>
  <c r="W74" i="1"/>
  <c r="W78" i="1"/>
  <c r="W82" i="1"/>
  <c r="W86" i="1"/>
  <c r="W90" i="1"/>
  <c r="W94" i="1"/>
  <c r="W98" i="1"/>
  <c r="W102" i="1"/>
  <c r="W106" i="1"/>
  <c r="W15" i="1"/>
  <c r="W27" i="1"/>
  <c r="W35" i="1"/>
  <c r="W43" i="1"/>
  <c r="W55" i="1"/>
  <c r="W63" i="1"/>
  <c r="W71" i="1"/>
  <c r="W79" i="1"/>
  <c r="W87" i="1"/>
  <c r="W95" i="1"/>
  <c r="W103" i="1"/>
  <c r="W7" i="1"/>
  <c r="W11" i="1"/>
  <c r="W8" i="1"/>
  <c r="W9" i="1"/>
  <c r="W10" i="1"/>
  <c r="W6" i="1"/>
  <c r="V13" i="1"/>
  <c r="V17" i="1"/>
  <c r="V21" i="1"/>
  <c r="V25" i="1"/>
  <c r="V29" i="1"/>
  <c r="V33" i="1"/>
  <c r="V37" i="1"/>
  <c r="V41" i="1"/>
  <c r="V45" i="1"/>
  <c r="V49" i="1"/>
  <c r="V53" i="1"/>
  <c r="V57" i="1"/>
  <c r="V61" i="1"/>
  <c r="V65" i="1"/>
  <c r="V69" i="1"/>
  <c r="V73" i="1"/>
  <c r="V77" i="1"/>
  <c r="V81" i="1"/>
  <c r="V85" i="1"/>
  <c r="V89" i="1"/>
  <c r="V93" i="1"/>
  <c r="V97" i="1"/>
  <c r="V101" i="1"/>
  <c r="V105" i="1"/>
  <c r="V14" i="1"/>
  <c r="V18" i="1"/>
  <c r="V22" i="1"/>
  <c r="V26" i="1"/>
  <c r="V30" i="1"/>
  <c r="V34" i="1"/>
  <c r="V38" i="1"/>
  <c r="V42" i="1"/>
  <c r="V46" i="1"/>
  <c r="V50" i="1"/>
  <c r="V54" i="1"/>
  <c r="V58" i="1"/>
  <c r="V62" i="1"/>
  <c r="V66" i="1"/>
  <c r="V70" i="1"/>
  <c r="V74" i="1"/>
  <c r="V78" i="1"/>
  <c r="V82" i="1"/>
  <c r="V86" i="1"/>
  <c r="V90" i="1"/>
  <c r="V94" i="1"/>
  <c r="V98" i="1"/>
  <c r="V102" i="1"/>
  <c r="V106" i="1"/>
  <c r="V15" i="1"/>
  <c r="V19" i="1"/>
  <c r="V23" i="1"/>
  <c r="V27" i="1"/>
  <c r="V31" i="1"/>
  <c r="V35" i="1"/>
  <c r="V39" i="1"/>
  <c r="V43" i="1"/>
  <c r="V47" i="1"/>
  <c r="V51" i="1"/>
  <c r="V55" i="1"/>
  <c r="V59" i="1"/>
  <c r="V63" i="1"/>
  <c r="V67" i="1"/>
  <c r="V71" i="1"/>
  <c r="V75" i="1"/>
  <c r="V79" i="1"/>
  <c r="V83" i="1"/>
  <c r="V87" i="1"/>
  <c r="V91" i="1"/>
  <c r="V95" i="1"/>
  <c r="V99" i="1"/>
  <c r="V103" i="1"/>
  <c r="V16" i="1"/>
  <c r="V20" i="1"/>
  <c r="V24" i="1"/>
  <c r="V28" i="1"/>
  <c r="V32" i="1"/>
  <c r="V36" i="1"/>
  <c r="V40" i="1"/>
  <c r="V44" i="1"/>
  <c r="V48" i="1"/>
  <c r="V52" i="1"/>
  <c r="V56" i="1"/>
  <c r="V60" i="1"/>
  <c r="V64" i="1"/>
  <c r="V68" i="1"/>
  <c r="V72" i="1"/>
  <c r="V76" i="1"/>
  <c r="V80" i="1"/>
  <c r="V84" i="1"/>
  <c r="V88" i="1"/>
  <c r="V92" i="1"/>
  <c r="V96" i="1"/>
  <c r="V100" i="1"/>
  <c r="V104" i="1"/>
  <c r="V12" i="1"/>
  <c r="V7" i="1"/>
  <c r="V11" i="1"/>
  <c r="V8" i="1"/>
  <c r="V9" i="1"/>
  <c r="V10" i="1"/>
  <c r="V6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9" i="1"/>
  <c r="Q27" i="1"/>
  <c r="Q35" i="1"/>
  <c r="Q43" i="1"/>
  <c r="Q51" i="1"/>
  <c r="Q59" i="1"/>
  <c r="Q71" i="1"/>
  <c r="Q79" i="1"/>
  <c r="Q87" i="1"/>
  <c r="Q95" i="1"/>
  <c r="Q9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23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5" i="1"/>
  <c r="Q31" i="1"/>
  <c r="Q39" i="1"/>
  <c r="Q47" i="1"/>
  <c r="Q55" i="1"/>
  <c r="Q63" i="1"/>
  <c r="Q67" i="1"/>
  <c r="Q75" i="1"/>
  <c r="Q83" i="1"/>
  <c r="Q91" i="1"/>
  <c r="Q103" i="1"/>
  <c r="Q7" i="1"/>
  <c r="Q11" i="1"/>
  <c r="Q8" i="1"/>
  <c r="Q9" i="1"/>
  <c r="Q10" i="1"/>
  <c r="Q6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9" i="1"/>
  <c r="P31" i="1"/>
  <c r="P35" i="1"/>
  <c r="P47" i="1"/>
  <c r="P55" i="1"/>
  <c r="P63" i="1"/>
  <c r="P71" i="1"/>
  <c r="P79" i="1"/>
  <c r="P87" i="1"/>
  <c r="P95" i="1"/>
  <c r="P103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23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5" i="1"/>
  <c r="P27" i="1"/>
  <c r="P39" i="1"/>
  <c r="P43" i="1"/>
  <c r="P51" i="1"/>
  <c r="P59" i="1"/>
  <c r="P67" i="1"/>
  <c r="P75" i="1"/>
  <c r="P83" i="1"/>
  <c r="P91" i="1"/>
  <c r="P99" i="1"/>
  <c r="P7" i="1"/>
  <c r="P11" i="1"/>
  <c r="P8" i="1"/>
  <c r="P9" i="1"/>
  <c r="P10" i="1"/>
  <c r="P6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8" i="1"/>
  <c r="J98" i="1"/>
  <c r="J8" i="1"/>
  <c r="J12" i="1"/>
  <c r="J16" i="1"/>
  <c r="J20" i="1"/>
  <c r="J24" i="1"/>
  <c r="J28" i="1"/>
  <c r="J32" i="1"/>
  <c r="J36" i="1"/>
  <c r="J40" i="1"/>
  <c r="J44" i="1"/>
  <c r="J48" i="1"/>
  <c r="J52" i="1"/>
  <c r="J56" i="1"/>
  <c r="J60" i="1"/>
  <c r="J64" i="1"/>
  <c r="J68" i="1"/>
  <c r="J72" i="1"/>
  <c r="J76" i="1"/>
  <c r="J80" i="1"/>
  <c r="J84" i="1"/>
  <c r="J88" i="1"/>
  <c r="J92" i="1"/>
  <c r="J96" i="1"/>
  <c r="J100" i="1"/>
  <c r="J104" i="1"/>
  <c r="J10" i="1"/>
  <c r="J26" i="1"/>
  <c r="J34" i="1"/>
  <c r="J42" i="1"/>
  <c r="J50" i="1"/>
  <c r="J58" i="1"/>
  <c r="J66" i="1"/>
  <c r="J74" i="1"/>
  <c r="J82" i="1"/>
  <c r="J90" i="1"/>
  <c r="J102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4" i="1"/>
  <c r="J22" i="1"/>
  <c r="J30" i="1"/>
  <c r="J38" i="1"/>
  <c r="J46" i="1"/>
  <c r="J54" i="1"/>
  <c r="J62" i="1"/>
  <c r="J70" i="1"/>
  <c r="J78" i="1"/>
  <c r="J86" i="1"/>
  <c r="J94" i="1"/>
  <c r="J106" i="1"/>
  <c r="J6" i="1"/>
  <c r="K7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8" i="1"/>
  <c r="K8" i="1"/>
  <c r="K12" i="1"/>
  <c r="K16" i="1"/>
  <c r="K20" i="1"/>
  <c r="K24" i="1"/>
  <c r="K28" i="1"/>
  <c r="K32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96" i="1"/>
  <c r="K100" i="1"/>
  <c r="K104" i="1"/>
  <c r="K14" i="1"/>
  <c r="K26" i="1"/>
  <c r="K34" i="1"/>
  <c r="K42" i="1"/>
  <c r="K50" i="1"/>
  <c r="K58" i="1"/>
  <c r="K66" i="1"/>
  <c r="K74" i="1"/>
  <c r="K82" i="1"/>
  <c r="K90" i="1"/>
  <c r="K98" i="1"/>
  <c r="K106" i="1"/>
  <c r="K9" i="1"/>
  <c r="K13" i="1"/>
  <c r="K17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" i="1"/>
  <c r="K22" i="1"/>
  <c r="K30" i="1"/>
  <c r="K38" i="1"/>
  <c r="K46" i="1"/>
  <c r="K54" i="1"/>
  <c r="K62" i="1"/>
  <c r="K70" i="1"/>
  <c r="K78" i="1"/>
  <c r="K86" i="1"/>
  <c r="K94" i="1"/>
  <c r="K102" i="1"/>
  <c r="K6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4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" i="1"/>
  <c r="E6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6" i="1"/>
</calcChain>
</file>

<file path=xl/sharedStrings.xml><?xml version="1.0" encoding="utf-8"?>
<sst xmlns="http://schemas.openxmlformats.org/spreadsheetml/2006/main" count="80" uniqueCount="17">
  <si>
    <t>Up and Out Call</t>
  </si>
  <si>
    <t>Volatility</t>
  </si>
  <si>
    <t>Interest rate</t>
  </si>
  <si>
    <t>Dividend yield</t>
  </si>
  <si>
    <t>Strike</t>
  </si>
  <si>
    <t>Barrier</t>
  </si>
  <si>
    <t>Expiration</t>
  </si>
  <si>
    <t>Vanilla Call</t>
  </si>
  <si>
    <t>Spot Price</t>
  </si>
  <si>
    <t>Up and In Call</t>
  </si>
  <si>
    <t>Down and Out Call</t>
  </si>
  <si>
    <t>Down and In Call</t>
  </si>
  <si>
    <t>Down and Out Put</t>
  </si>
  <si>
    <t>Vanilla Put</t>
  </si>
  <si>
    <t>Down and In Put</t>
  </si>
  <si>
    <t>Up and Out Put</t>
  </si>
  <si>
    <t>Up and In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</si>
</sst>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center" wrapText="1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Up and out CALL vs Vanilla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CALL!$D$5</c:f>
              <c:strCache>
                <c:ptCount val="1"/>
                <c:pt idx="0">
                  <c:v>Up and Out Call</c:v>
                </c:pt>
              </c:strCache>
            </c:strRef>
          </c:tx>
          <c:spPr>
            <a:ln w="3175" cap="rnd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CALL!$C$6:$C$106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CALL!$D$6:$D$106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2.6645352591003757E-15</c:v>
                </c:pt>
                <c:pt idx="7">
                  <c:v>5.239007455391699E-15</c:v>
                </c:pt>
                <c:pt idx="8">
                  <c:v>6.4242951245076846E-13</c:v>
                </c:pt>
                <c:pt idx="9">
                  <c:v>2.0040974338400438E-11</c:v>
                </c:pt>
                <c:pt idx="10">
                  <c:v>3.6257144867491246E-10</c:v>
                </c:pt>
                <c:pt idx="11">
                  <c:v>4.297914850412022E-9</c:v>
                </c:pt>
                <c:pt idx="12">
                  <c:v>3.6394244835575093E-8</c:v>
                </c:pt>
                <c:pt idx="13">
                  <c:v>2.3463797628777008E-7</c:v>
                </c:pt>
                <c:pt idx="14">
                  <c:v>1.2085353355352557E-6</c:v>
                </c:pt>
                <c:pt idx="15">
                  <c:v>5.16131369881241E-6</c:v>
                </c:pt>
                <c:pt idx="16">
                  <c:v>1.8818576394417799E-5</c:v>
                </c:pt>
                <c:pt idx="17">
                  <c:v>5.9960717821632174E-5</c:v>
                </c:pt>
                <c:pt idx="18">
                  <c:v>1.7013636961403901E-4</c:v>
                </c:pt>
                <c:pt idx="19">
                  <c:v>4.3660815966922121E-4</c:v>
                </c:pt>
                <c:pt idx="20">
                  <c:v>1.0263828466352265E-3</c:v>
                </c:pt>
                <c:pt idx="21">
                  <c:v>2.2340634778758722E-3</c:v>
                </c:pt>
                <c:pt idx="22">
                  <c:v>4.5432457030502582E-3</c:v>
                </c:pt>
                <c:pt idx="23">
                  <c:v>8.6985677736208522E-3</c:v>
                </c:pt>
                <c:pt idx="24">
                  <c:v>1.5782829933868564E-2</c:v>
                </c:pt>
                <c:pt idx="25">
                  <c:v>2.7291400633782159E-2</c:v>
                </c:pt>
                <c:pt idx="26">
                  <c:v>4.5194900879498845E-2</c:v>
                </c:pt>
                <c:pt idx="27">
                  <c:v>7.1981165688282278E-2</c:v>
                </c:pt>
                <c:pt idx="28">
                  <c:v>0.1106687283619685</c:v>
                </c:pt>
                <c:pt idx="29">
                  <c:v>0.16478633814506161</c:v>
                </c:pt>
                <c:pt idx="30">
                  <c:v>0.2383159345053687</c:v>
                </c:pt>
                <c:pt idx="31">
                  <c:v>0.33559963614220845</c:v>
                </c:pt>
                <c:pt idx="32">
                  <c:v>0.46121426289775869</c:v>
                </c:pt>
                <c:pt idx="33">
                  <c:v>0.61981938430330619</c:v>
                </c:pt>
                <c:pt idx="34">
                  <c:v>0.81598668502332927</c:v>
                </c:pt>
                <c:pt idx="35">
                  <c:v>1.054019476609005</c:v>
                </c:pt>
                <c:pt idx="36">
                  <c:v>1.3377714867082329</c:v>
                </c:pt>
                <c:pt idx="37">
                  <c:v>1.6704737117517503</c:v>
                </c:pt>
                <c:pt idx="38">
                  <c:v>2.0545772589180533</c:v>
                </c:pt>
                <c:pt idx="39">
                  <c:v>2.491618874873609</c:v>
                </c:pt>
                <c:pt idx="40">
                  <c:v>2.9821144051501669</c:v>
                </c:pt>
                <c:pt idx="41">
                  <c:v>3.5254838750435304</c:v>
                </c:pt>
                <c:pt idx="42">
                  <c:v>4.1200103335712832</c:v>
                </c:pt>
                <c:pt idx="43">
                  <c:v>4.7628331348234951</c:v>
                </c:pt>
                <c:pt idx="44">
                  <c:v>5.4499750016742645</c:v>
                </c:pt>
                <c:pt idx="45">
                  <c:v>6.1764010614414033</c:v>
                </c:pt>
                <c:pt idx="46">
                  <c:v>6.9361070821409356</c:v>
                </c:pt>
                <c:pt idx="47">
                  <c:v>7.7221976403474244</c:v>
                </c:pt>
                <c:pt idx="48">
                  <c:v>8.5270189851010656</c:v>
                </c:pt>
                <c:pt idx="49">
                  <c:v>9.3423398162038254</c:v>
                </c:pt>
                <c:pt idx="50">
                  <c:v>10.159495500036265</c:v>
                </c:pt>
                <c:pt idx="51">
                  <c:v>10.969538675872613</c:v>
                </c:pt>
                <c:pt idx="52">
                  <c:v>11.76337222379469</c:v>
                </c:pt>
                <c:pt idx="53">
                  <c:v>12.531945311607615</c:v>
                </c:pt>
                <c:pt idx="54">
                  <c:v>13.2664041504297</c:v>
                </c:pt>
                <c:pt idx="55">
                  <c:v>13.958234248517648</c:v>
                </c:pt>
                <c:pt idx="56">
                  <c:v>14.599391624734132</c:v>
                </c:pt>
                <c:pt idx="57">
                  <c:v>15.18242030096107</c:v>
                </c:pt>
                <c:pt idx="58">
                  <c:v>15.700554093303531</c:v>
                </c:pt>
                <c:pt idx="59">
                  <c:v>16.14780136615758</c:v>
                </c:pt>
                <c:pt idx="60">
                  <c:v>16.51901200045166</c:v>
                </c:pt>
                <c:pt idx="61">
                  <c:v>16.809926355390097</c:v>
                </c:pt>
                <c:pt idx="62">
                  <c:v>17.017206469234445</c:v>
                </c:pt>
                <c:pt idx="63">
                  <c:v>17.138450146957233</c:v>
                </c:pt>
                <c:pt idx="64">
                  <c:v>17.172188919869726</c:v>
                </c:pt>
                <c:pt idx="65">
                  <c:v>17.117871134714036</c:v>
                </c:pt>
                <c:pt idx="66">
                  <c:v>16.97583163874117</c:v>
                </c:pt>
                <c:pt idx="67">
                  <c:v>16.747249675780786</c:v>
                </c:pt>
                <c:pt idx="68">
                  <c:v>16.434096700255346</c:v>
                </c:pt>
                <c:pt idx="69">
                  <c:v>16.039075856445201</c:v>
                </c:pt>
                <c:pt idx="70">
                  <c:v>15.565554864762355</c:v>
                </c:pt>
                <c:pt idx="71">
                  <c:v>15.017494011500204</c:v>
                </c:pt>
                <c:pt idx="72">
                  <c:v>14.399370859885217</c:v>
                </c:pt>
                <c:pt idx="73">
                  <c:v>13.716103194684088</c:v>
                </c:pt>
                <c:pt idx="74">
                  <c:v>12.97297158634175</c:v>
                </c:pt>
                <c:pt idx="75">
                  <c:v>12.175542819544745</c:v>
                </c:pt>
                <c:pt idx="76">
                  <c:v>11.329595280651951</c:v>
                </c:pt>
                <c:pt idx="77">
                  <c:v>10.441047243493138</c:v>
                </c:pt>
                <c:pt idx="78">
                  <c:v>9.5158888378818567</c:v>
                </c:pt>
                <c:pt idx="79">
                  <c:v>8.5601183334610518</c:v>
                </c:pt>
                <c:pt idx="80">
                  <c:v>7.5796832261927882</c:v>
                </c:pt>
                <c:pt idx="81">
                  <c:v>6.5804302239857435</c:v>
                </c:pt>
                <c:pt idx="82">
                  <c:v>5.5680822039819091</c:v>
                </c:pt>
                <c:pt idx="83">
                  <c:v>4.5481543636453434</c:v>
                </c:pt>
                <c:pt idx="84">
                  <c:v>3.5259277463748049</c:v>
                </c:pt>
                <c:pt idx="85">
                  <c:v>2.5064295383123083</c:v>
                </c:pt>
                <c:pt idx="86">
                  <c:v>1.494406320825818</c:v>
                </c:pt>
                <c:pt idx="87">
                  <c:v>0.49429188598553675</c:v>
                </c:pt>
                <c:pt idx="88">
                  <c:v>-0.48979422581424004</c:v>
                </c:pt>
                <c:pt idx="89">
                  <c:v>-1.4540527627536717</c:v>
                </c:pt>
                <c:pt idx="90">
                  <c:v>-2.3950296115243415</c:v>
                </c:pt>
                <c:pt idx="91">
                  <c:v>-3.3096142429058411</c:v>
                </c:pt>
                <c:pt idx="92">
                  <c:v>-4.195025036258901</c:v>
                </c:pt>
                <c:pt idx="93">
                  <c:v>-5.0488160029710301</c:v>
                </c:pt>
                <c:pt idx="94">
                  <c:v>-5.8688705114977537</c:v>
                </c:pt>
                <c:pt idx="95">
                  <c:v>-6.6533905306457122</c:v>
                </c:pt>
                <c:pt idx="96">
                  <c:v>-7.4008715034964823</c:v>
                </c:pt>
                <c:pt idx="97">
                  <c:v>-8.1101053582040592</c:v>
                </c:pt>
                <c:pt idx="98">
                  <c:v>-8.7801753948694774</c:v>
                </c:pt>
                <c:pt idx="99">
                  <c:v>-9.4104266535883028</c:v>
                </c:pt>
                <c:pt idx="100">
                  <c:v>-10.000450220652997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C-4EA3-B342-A5FB24673D7B}"/>
            </c:ext>
          </c:extLst>
        </c:ser>
        <c:ser>
          <c:idx val="1"/>
          <c:order val="1"/>
          <c:tx>
            <c:strRef>
              <c:f>CALL!$E$5</c:f>
              <c:strCache>
                <c:ptCount val="1"/>
                <c:pt idx="0">
                  <c:v>Vanilla Call</c:v>
                </c:pt>
              </c:strCache>
            </c:strRef>
          </c:tx>
          <c:spPr>
            <a:ln w="3175" cap="rnd">
              <a:solidFill>
                <a:schemeClr val="lt1">
                  <a:shade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CALL!$C$6:$C$106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CALL!$E$6:$E$106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2.6645352591003757E-15</c:v>
                </c:pt>
                <c:pt idx="7">
                  <c:v>5.239007455391699E-15</c:v>
                </c:pt>
                <c:pt idx="8">
                  <c:v>6.4242951245076846E-13</c:v>
                </c:pt>
                <c:pt idx="9">
                  <c:v>2.0040974338400438E-11</c:v>
                </c:pt>
                <c:pt idx="10">
                  <c:v>3.6257144867491246E-10</c:v>
                </c:pt>
                <c:pt idx="11">
                  <c:v>4.2979213870785136E-9</c:v>
                </c:pt>
                <c:pt idx="12">
                  <c:v>3.6394672323875148E-8</c:v>
                </c:pt>
                <c:pt idx="13">
                  <c:v>2.3464089964510418E-7</c:v>
                </c:pt>
                <c:pt idx="14">
                  <c:v>1.2085641102000491E-6</c:v>
                </c:pt>
                <c:pt idx="15">
                  <c:v>5.1615254279194217E-6</c:v>
                </c:pt>
                <c:pt idx="16">
                  <c:v>1.8819862086184175E-5</c:v>
                </c:pt>
                <c:pt idx="17">
                  <c:v>5.9967311914043168E-5</c:v>
                </c:pt>
                <c:pt idx="18">
                  <c:v>1.7016559210226382E-4</c:v>
                </c:pt>
                <c:pt idx="19">
                  <c:v>4.367221603059513E-4</c:v>
                </c:pt>
                <c:pt idx="20">
                  <c:v>1.0267804579219275E-3</c:v>
                </c:pt>
                <c:pt idx="21">
                  <c:v>2.2353195504370565E-3</c:v>
                </c:pt>
                <c:pt idx="22">
                  <c:v>4.5468794312917282E-3</c:v>
                </c:pt>
                <c:pt idx="23">
                  <c:v>8.7082850524291544E-3</c:v>
                </c:pt>
                <c:pt idx="24">
                  <c:v>1.5807045161173261E-2</c:v>
                </c:pt>
                <c:pt idx="25">
                  <c:v>2.7348025381525032E-2</c:v>
                </c:pt>
                <c:pt idx="26">
                  <c:v>4.5319905206173683E-2</c:v>
                </c:pt>
                <c:pt idx="27">
                  <c:v>7.2243069061134868E-2</c:v>
                </c:pt>
                <c:pt idx="28">
                  <c:v>0.1111919329013884</c:v>
                </c:pt>
                <c:pt idx="29">
                  <c:v>0.16578702082692676</c:v>
                </c:pt>
                <c:pt idx="30">
                  <c:v>0.24015498431308213</c:v>
                </c:pt>
                <c:pt idx="31">
                  <c:v>0.33885775462973289</c:v>
                </c:pt>
                <c:pt idx="32">
                  <c:v>0.46679473182162301</c:v>
                </c:pt>
                <c:pt idx="33">
                  <c:v>0.62908403765995136</c:v>
                </c:pt>
                <c:pt idx="34">
                  <c:v>0.83093022167464969</c:v>
                </c:pt>
                <c:pt idx="35">
                  <c:v>1.0774863642564387</c:v>
                </c:pt>
                <c:pt idx="36">
                  <c:v>1.3737183316859447</c:v>
                </c:pt>
                <c:pt idx="37">
                  <c:v>1.7242781420652786</c:v>
                </c:pt>
                <c:pt idx="38">
                  <c:v>2.1333921751131371</c:v>
                </c:pt>
                <c:pt idx="39">
                  <c:v>2.6047684875149386</c:v>
                </c:pt>
                <c:pt idx="40">
                  <c:v>3.1415259485329976</c:v>
                </c:pt>
                <c:pt idx="41">
                  <c:v>3.7461464270710785</c:v>
                </c:pt>
                <c:pt idx="42">
                  <c:v>4.4204499431851438</c:v>
                </c:pt>
                <c:pt idx="43">
                  <c:v>5.1655916079844388</c:v>
                </c:pt>
                <c:pt idx="44">
                  <c:v>5.9820783456536617</c:v>
                </c:pt>
                <c:pt idx="45">
                  <c:v>6.8698028218284577</c:v>
                </c:pt>
                <c:pt idx="46">
                  <c:v>7.8280916752077871</c:v>
                </c:pt>
                <c:pt idx="47">
                  <c:v>8.8557292927959637</c:v>
                </c:pt>
                <c:pt idx="48">
                  <c:v>9.951023013199098</c:v>
                </c:pt>
                <c:pt idx="49">
                  <c:v>11.111904643014434</c:v>
                </c:pt>
                <c:pt idx="50">
                  <c:v>12.335985932255248</c:v>
                </c:pt>
                <c:pt idx="51">
                  <c:v>13.620613431209556</c:v>
                </c:pt>
                <c:pt idx="52">
                  <c:v>14.962901395591892</c:v>
                </c:pt>
                <c:pt idx="53">
                  <c:v>16.359826256359355</c:v>
                </c:pt>
                <c:pt idx="54">
                  <c:v>17.808277067122411</c:v>
                </c:pt>
                <c:pt idx="55">
                  <c:v>19.305101377490743</c:v>
                </c:pt>
                <c:pt idx="56">
                  <c:v>20.847146433976377</c:v>
                </c:pt>
                <c:pt idx="57">
                  <c:v>22.431295173101674</c:v>
                </c:pt>
                <c:pt idx="58">
                  <c:v>24.054496820181541</c:v>
                </c:pt>
                <c:pt idx="59">
                  <c:v>25.713792162746259</c:v>
                </c:pt>
                <c:pt idx="60">
                  <c:v>27.406333748209235</c:v>
                </c:pt>
                <c:pt idx="61">
                  <c:v>29.129401376492069</c:v>
                </c:pt>
                <c:pt idx="62">
                  <c:v>30.880413332659927</c:v>
                </c:pt>
                <c:pt idx="63">
                  <c:v>32.656933842815377</c:v>
                </c:pt>
                <c:pt idx="64">
                  <c:v>34.456677247345226</c:v>
                </c:pt>
                <c:pt idx="65">
                  <c:v>36.277509376340831</c:v>
                </c:pt>
                <c:pt idx="66">
                  <c:v>38.117446588502602</c:v>
                </c:pt>
                <c:pt idx="67">
                  <c:v>39.97465290180908</c:v>
                </c:pt>
                <c:pt idx="68">
                  <c:v>41.847435605420387</c:v>
                </c:pt>
                <c:pt idx="69">
                  <c:v>43.734239700580005</c:v>
                </c:pt>
                <c:pt idx="70">
                  <c:v>45.633641475874171</c:v>
                </c:pt>
                <c:pt idx="71">
                  <c:v>47.544341480711552</c:v>
                </c:pt>
                <c:pt idx="72">
                  <c:v>49.465157121431915</c:v>
                </c:pt>
                <c:pt idx="73">
                  <c:v>51.395015067795867</c:v>
                </c:pt>
                <c:pt idx="74">
                  <c:v>53.332943624198563</c:v>
                </c:pt>
                <c:pt idx="75">
                  <c:v>55.278065190010182</c:v>
                </c:pt>
                <c:pt idx="76">
                  <c:v>57.229588907018922</c:v>
                </c:pt>
                <c:pt idx="77">
                  <c:v>59.186803568953508</c:v>
                </c:pt>
                <c:pt idx="78">
                  <c:v>61.149070848319454</c:v>
                </c:pt>
                <c:pt idx="79">
                  <c:v>63.115818879065728</c:v>
                </c:pt>
                <c:pt idx="80">
                  <c:v>65.086536219636173</c:v>
                </c:pt>
                <c:pt idx="81">
                  <c:v>67.060766209475759</c:v>
                </c:pt>
                <c:pt idx="82">
                  <c:v>69.038101722763784</c:v>
                </c:pt>
                <c:pt idx="83">
                  <c:v>71.018180315764411</c:v>
                </c:pt>
                <c:pt idx="84">
                  <c:v>73.000679758451156</c:v>
                </c:pt>
                <c:pt idx="85">
                  <c:v>74.985313936736034</c:v>
                </c:pt>
                <c:pt idx="86">
                  <c:v>76.971829108492472</c:v>
                </c:pt>
                <c:pt idx="87">
                  <c:v>78.96000049440643</c:v>
                </c:pt>
                <c:pt idx="88">
                  <c:v>80.949629183343774</c:v>
                </c:pt>
                <c:pt idx="89">
                  <c:v>82.940539331232017</c:v>
                </c:pt>
                <c:pt idx="90">
                  <c:v>84.932575632286216</c:v>
                </c:pt>
                <c:pt idx="91">
                  <c:v>86.925601041647923</c:v>
                </c:pt>
                <c:pt idx="92">
                  <c:v>88.919494729058044</c:v>
                </c:pt>
                <c:pt idx="93">
                  <c:v>90.914150243963874</c:v>
                </c:pt>
                <c:pt idx="94">
                  <c:v>92.909473873407777</c:v>
                </c:pt>
                <c:pt idx="95">
                  <c:v>94.905383175095096</c:v>
                </c:pt>
                <c:pt idx="96">
                  <c:v>96.901805669159017</c:v>
                </c:pt>
                <c:pt idx="97">
                  <c:v>98.898677673284368</c:v>
                </c:pt>
                <c:pt idx="98">
                  <c:v>100.89594326700036</c:v>
                </c:pt>
                <c:pt idx="99">
                  <c:v>102.8935533720809</c:v>
                </c:pt>
                <c:pt idx="100">
                  <c:v>104.89146493708012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C-4EA3-B342-A5FB24673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88616"/>
        <c:axId val="957495176"/>
      </c:scatterChart>
      <c:valAx>
        <c:axId val="95748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495176"/>
        <c:crosses val="autoZero"/>
        <c:crossBetween val="midCat"/>
      </c:valAx>
      <c:valAx>
        <c:axId val="95749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48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CALL!$J$5</c:f>
              <c:strCache>
                <c:ptCount val="1"/>
                <c:pt idx="0">
                  <c:v>Up and In Call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CALL!$I$6:$I$106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CALL!$J$6:$J$106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1.1102230246251565E-15</c:v>
                </c:pt>
                <c:pt idx="6">
                  <c:v>2.4776023673127651E-14</c:v>
                </c:pt>
                <c:pt idx="7">
                  <c:v>3.757397131027393E-12</c:v>
                </c:pt>
                <c:pt idx="8">
                  <c:v>8.5224180821090961E-11</c:v>
                </c:pt>
                <c:pt idx="9">
                  <c:v>1.50099786638066E-9</c:v>
                </c:pt>
                <c:pt idx="10">
                  <c:v>1.6657866281234956E-8</c:v>
                </c:pt>
                <c:pt idx="11">
                  <c:v>1.3078856986741724E-7</c:v>
                </c:pt>
                <c:pt idx="12">
                  <c:v>7.7949174459609057E-7</c:v>
                </c:pt>
                <c:pt idx="13">
                  <c:v>3.7140544946171034E-6</c:v>
                </c:pt>
                <c:pt idx="14">
                  <c:v>1.4713474213405732E-5</c:v>
                </c:pt>
                <c:pt idx="15">
                  <c:v>4.9954448483597403E-5</c:v>
                </c:pt>
                <c:pt idx="16">
                  <c:v>1.4886049531917186E-4</c:v>
                </c:pt>
                <c:pt idx="17">
                  <c:v>3.968309775776713E-4</c:v>
                </c:pt>
                <c:pt idx="18">
                  <c:v>9.6107215618751116E-4</c:v>
                </c:pt>
                <c:pt idx="19">
                  <c:v>2.1415465868738631E-3</c:v>
                </c:pt>
                <c:pt idx="20">
                  <c:v>4.4368637373755591E-3</c:v>
                </c:pt>
                <c:pt idx="21">
                  <c:v>8.6221239869712502E-3</c:v>
                </c:pt>
                <c:pt idx="22">
                  <c:v>1.5832892806347643E-2</c:v>
                </c:pt>
                <c:pt idx="23">
                  <c:v>2.7647254292220896E-2</c:v>
                </c:pt>
                <c:pt idx="24">
                  <c:v>4.615676645951855E-2</c:v>
                </c:pt>
                <c:pt idx="25">
                  <c:v>7.4017352664408953E-2</c:v>
                </c:pt>
                <c:pt idx="26">
                  <c:v>0.11447266742626699</c:v>
                </c:pt>
                <c:pt idx="27">
                  <c:v>0.17134498576376256</c:v>
                </c:pt>
                <c:pt idx="28">
                  <c:v>0.2489917525056573</c:v>
                </c:pt>
                <c:pt idx="29">
                  <c:v>0.3522291207786743</c:v>
                </c:pt>
                <c:pt idx="30">
                  <c:v>0.4862266850642265</c:v>
                </c:pt>
                <c:pt idx="31">
                  <c:v>0.65637986104560264</c:v>
                </c:pt>
                <c:pt idx="32">
                  <c:v>0.86816780446886721</c:v>
                </c:pt>
                <c:pt idx="33">
                  <c:v>1.1270053495767591</c:v>
                </c:pt>
                <c:pt idx="34">
                  <c:v>1.4380972492220252</c:v>
                </c:pt>
                <c:pt idx="35">
                  <c:v>1.8063021549636007</c:v>
                </c:pt>
                <c:pt idx="36">
                  <c:v>2.2360124690116692</c:v>
                </c:pt>
                <c:pt idx="37">
                  <c:v>2.731054623634197</c:v>
                </c:pt>
                <c:pt idx="38">
                  <c:v>3.294612676385821</c:v>
                </c:pt>
                <c:pt idx="39">
                  <c:v>3.9291765004429973</c:v>
                </c:pt>
                <c:pt idx="40">
                  <c:v>4.6365144100123707</c:v>
                </c:pt>
                <c:pt idx="41">
                  <c:v>5.4176688637314037</c:v>
                </c:pt>
                <c:pt idx="42">
                  <c:v>6.2729729707069346</c:v>
                </c:pt>
                <c:pt idx="43">
                  <c:v>7.2020848907254198</c:v>
                </c:pt>
                <c:pt idx="44">
                  <c:v>8.2040368556531327</c:v>
                </c:pt>
                <c:pt idx="45">
                  <c:v>9.2772954109153325</c:v>
                </c:pt>
                <c:pt idx="46">
                  <c:v>10.419829542970817</c:v>
                </c:pt>
                <c:pt idx="47">
                  <c:v>11.629183576173688</c:v>
                </c:pt>
                <c:pt idx="48">
                  <c:v>12.902552046382617</c:v>
                </c:pt>
                <c:pt idx="49">
                  <c:v>14.236854148922966</c:v>
                </c:pt>
                <c:pt idx="50">
                  <c:v>15.628805780355108</c:v>
                </c:pt>
                <c:pt idx="51">
                  <c:v>17.074987618725515</c:v>
                </c:pt>
                <c:pt idx="52">
                  <c:v>18.571908093924165</c:v>
                </c:pt>
                <c:pt idx="53">
                  <c:v>20.11603922708052</c:v>
                </c:pt>
                <c:pt idx="54">
                  <c:v>21.70386519574361</c:v>
                </c:pt>
                <c:pt idx="55">
                  <c:v>23.331960335592207</c:v>
                </c:pt>
                <c:pt idx="56">
                  <c:v>24.996992719584853</c:v>
                </c:pt>
                <c:pt idx="57">
                  <c:v>26.695757321723946</c:v>
                </c:pt>
                <c:pt idx="58">
                  <c:v>28.425218103186594</c:v>
                </c:pt>
                <c:pt idx="59">
                  <c:v>30.18248344261427</c:v>
                </c:pt>
                <c:pt idx="60">
                  <c:v>31.964836743664051</c:v>
                </c:pt>
                <c:pt idx="61">
                  <c:v>33.769746990707347</c:v>
                </c:pt>
                <c:pt idx="62">
                  <c:v>35.594869842325764</c:v>
                </c:pt>
                <c:pt idx="63">
                  <c:v>37.438045833066028</c:v>
                </c:pt>
                <c:pt idx="64">
                  <c:v>39.29729800497266</c:v>
                </c:pt>
                <c:pt idx="65">
                  <c:v>41.170841753366375</c:v>
                </c:pt>
                <c:pt idx="66">
                  <c:v>43.057050779300496</c:v>
                </c:pt>
                <c:pt idx="67">
                  <c:v>44.954454989861588</c:v>
                </c:pt>
                <c:pt idx="68">
                  <c:v>46.861738223480828</c:v>
                </c:pt>
                <c:pt idx="69">
                  <c:v>48.777727425659918</c:v>
                </c:pt>
                <c:pt idx="70">
                  <c:v>50.70136896730655</c:v>
                </c:pt>
                <c:pt idx="71">
                  <c:v>52.631731620145771</c:v>
                </c:pt>
                <c:pt idx="72">
                  <c:v>54.568002925681938</c:v>
                </c:pt>
                <c:pt idx="73">
                  <c:v>56.50946844119575</c:v>
                </c:pt>
                <c:pt idx="74">
                  <c:v>58.455502418805636</c:v>
                </c:pt>
                <c:pt idx="75">
                  <c:v>60.40555931838432</c:v>
                </c:pt>
                <c:pt idx="76">
                  <c:v>62.359165666522387</c:v>
                </c:pt>
                <c:pt idx="77">
                  <c:v>64.315909538437907</c:v>
                </c:pt>
                <c:pt idx="78">
                  <c:v>66.27542816054509</c:v>
                </c:pt>
                <c:pt idx="79">
                  <c:v>68.237416426754081</c:v>
                </c:pt>
                <c:pt idx="80">
                  <c:v>70.201613247221275</c:v>
                </c:pt>
                <c:pt idx="81">
                  <c:v>72.167794221461506</c:v>
                </c:pt>
                <c:pt idx="82">
                  <c:v>74.135766850631583</c:v>
                </c:pt>
                <c:pt idx="83">
                  <c:v>76.105366758071611</c:v>
                </c:pt>
                <c:pt idx="84">
                  <c:v>78.076459027990467</c:v>
                </c:pt>
                <c:pt idx="85">
                  <c:v>80.048926689337506</c:v>
                </c:pt>
                <c:pt idx="86">
                  <c:v>82.022666907986888</c:v>
                </c:pt>
                <c:pt idx="87">
                  <c:v>83.997592381181818</c:v>
                </c:pt>
                <c:pt idx="88">
                  <c:v>85.973628706916514</c:v>
                </c:pt>
                <c:pt idx="89">
                  <c:v>87.950712143998729</c:v>
                </c:pt>
                <c:pt idx="90">
                  <c:v>89.928787712270378</c:v>
                </c:pt>
                <c:pt idx="91">
                  <c:v>91.907807588444626</c:v>
                </c:pt>
                <c:pt idx="92">
                  <c:v>93.887729758263035</c:v>
                </c:pt>
                <c:pt idx="93">
                  <c:v>95.868516890292085</c:v>
                </c:pt>
                <c:pt idx="94">
                  <c:v>97.850135400774306</c:v>
                </c:pt>
                <c:pt idx="95">
                  <c:v>99.832554682586235</c:v>
                </c:pt>
                <c:pt idx="96">
                  <c:v>101.81574647460235</c:v>
                </c:pt>
                <c:pt idx="97">
                  <c:v>103.79968435065879</c:v>
                </c:pt>
                <c:pt idx="98">
                  <c:v>105.78434330989832</c:v>
                </c:pt>
                <c:pt idx="99">
                  <c:v>107.76969945258858</c:v>
                </c:pt>
                <c:pt idx="100">
                  <c:v>109.75572972756454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6-4BA8-8544-B99552108FD9}"/>
            </c:ext>
          </c:extLst>
        </c:ser>
        <c:ser>
          <c:idx val="1"/>
          <c:order val="1"/>
          <c:tx>
            <c:strRef>
              <c:f>CALL!$K$5</c:f>
              <c:strCache>
                <c:ptCount val="1"/>
                <c:pt idx="0">
                  <c:v>Vanilla Call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CALL!$I$6:$I$106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CALL!$K$6:$K$106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3.9038308101747083E-15</c:v>
                </c:pt>
                <c:pt idx="6">
                  <c:v>5.5859575748468686E-13</c:v>
                </c:pt>
                <c:pt idx="7">
                  <c:v>2.9773939453902149E-11</c:v>
                </c:pt>
                <c:pt idx="8">
                  <c:v>7.3936730130925534E-10</c:v>
                </c:pt>
                <c:pt idx="9">
                  <c:v>1.0529229084309303E-8</c:v>
                </c:pt>
                <c:pt idx="10">
                  <c:v>9.8515077001310301E-8</c:v>
                </c:pt>
                <c:pt idx="11">
                  <c:v>6.6499162511552597E-7</c:v>
                </c:pt>
                <c:pt idx="12">
                  <c:v>3.4624586822655653E-6</c:v>
                </c:pt>
                <c:pt idx="13">
                  <c:v>1.4608647637028065E-5</c:v>
                </c:pt>
                <c:pt idx="14">
                  <c:v>5.1839650592775972E-5</c:v>
                </c:pt>
                <c:pt idx="15">
                  <c:v>1.5922770429573335E-4</c:v>
                </c:pt>
                <c:pt idx="16">
                  <c:v>4.3299674570894224E-4</c:v>
                </c:pt>
                <c:pt idx="17">
                  <c:v>1.0614174624756605E-3</c:v>
                </c:pt>
                <c:pt idx="18">
                  <c:v>2.3798864907255274E-3</c:v>
                </c:pt>
                <c:pt idx="19">
                  <c:v>4.9394804529947905E-3</c:v>
                </c:pt>
                <c:pt idx="20">
                  <c:v>9.5841775924574713E-3</c:v>
                </c:pt>
                <c:pt idx="21">
                  <c:v>1.7529333575437567E-2</c:v>
                </c:pt>
                <c:pt idx="22">
                  <c:v>3.043251982791062E-2</c:v>
                </c:pt>
                <c:pt idx="23">
                  <c:v>5.0447804043269984E-2</c:v>
                </c:pt>
                <c:pt idx="24">
                  <c:v>8.0255935022270242E-2</c:v>
                </c:pt>
                <c:pt idx="25">
                  <c:v>0.12306535698778087</c:v>
                </c:pt>
                <c:pt idx="26">
                  <c:v>0.18258202720034422</c:v>
                </c:pt>
                <c:pt idx="27">
                  <c:v>0.2629491231093497</c:v>
                </c:pt>
                <c:pt idx="28">
                  <c:v>0.36866045954172399</c:v>
                </c:pt>
                <c:pt idx="29">
                  <c:v>0.50445349225575153</c:v>
                </c:pt>
                <c:pt idx="30">
                  <c:v>0.67518901940991505</c:v>
                </c:pt>
                <c:pt idx="31">
                  <c:v>0.88572510597295118</c:v>
                </c:pt>
                <c:pt idx="32">
                  <c:v>1.1407924514521692</c:v>
                </c:pt>
                <c:pt idx="33">
                  <c:v>1.4448775646529413</c:v>
                </c:pt>
                <c:pt idx="34">
                  <c:v>1.8021188902197505</c:v>
                </c:pt>
                <c:pt idx="35">
                  <c:v>2.2162196335168254</c:v>
                </c:pt>
                <c:pt idx="36">
                  <c:v>2.6903796095191268</c:v>
                </c:pt>
                <c:pt idx="37">
                  <c:v>3.2272471176349526</c:v>
                </c:pt>
                <c:pt idx="38">
                  <c:v>3.8288906985040114</c:v>
                </c:pt>
                <c:pt idx="39">
                  <c:v>4.4967897054253996</c:v>
                </c:pt>
                <c:pt idx="40">
                  <c:v>5.2318419367587232</c:v>
                </c:pt>
                <c:pt idx="41">
                  <c:v>6.0343861183519891</c:v>
                </c:pt>
                <c:pt idx="42">
                  <c:v>6.9042367734083783</c:v>
                </c:pt>
                <c:pt idx="43">
                  <c:v>7.8407289390160884</c:v>
                </c:pt>
                <c:pt idx="44">
                  <c:v>8.842759810512085</c:v>
                </c:pt>
                <c:pt idx="45">
                  <c:v>9.9088077072136755</c:v>
                </c:pt>
                <c:pt idx="46">
                  <c:v>11.037047791182189</c:v>
                </c:pt>
                <c:pt idx="47">
                  <c:v>12.225370199362665</c:v>
                </c:pt>
                <c:pt idx="48">
                  <c:v>13.471452930599426</c:v>
                </c:pt>
                <c:pt idx="49">
                  <c:v>14.772804402379435</c:v>
                </c:pt>
                <c:pt idx="50">
                  <c:v>16.126782898871141</c:v>
                </c:pt>
                <c:pt idx="51">
                  <c:v>17.530669410397522</c:v>
                </c:pt>
                <c:pt idx="52">
                  <c:v>18.98170420514311</c:v>
                </c:pt>
                <c:pt idx="53">
                  <c:v>20.477119209422611</c:v>
                </c:pt>
                <c:pt idx="54">
                  <c:v>22.014166644382726</c:v>
                </c:pt>
                <c:pt idx="55">
                  <c:v>23.59014372940905</c:v>
                </c:pt>
                <c:pt idx="56">
                  <c:v>25.202413461346708</c:v>
                </c:pt>
                <c:pt idx="57">
                  <c:v>26.848421618338961</c:v>
                </c:pt>
                <c:pt idx="58">
                  <c:v>28.525710230885281</c:v>
                </c:pt>
                <c:pt idx="59">
                  <c:v>30.231927821207393</c:v>
                </c:pt>
                <c:pt idx="60">
                  <c:v>31.964836743664051</c:v>
                </c:pt>
                <c:pt idx="61">
                  <c:v>33.722317970555849</c:v>
                </c:pt>
                <c:pt idx="62">
                  <c:v>35.502373664620819</c:v>
                </c:pt>
                <c:pt idx="63">
                  <c:v>37.303127866125578</c:v>
                </c:pt>
                <c:pt idx="64">
                  <c:v>39.122825602078535</c:v>
                </c:pt>
                <c:pt idx="65">
                  <c:v>40.959830700348505</c:v>
                </c:pt>
                <c:pt idx="66">
                  <c:v>42.812622564374095</c:v>
                </c:pt>
                <c:pt idx="67">
                  <c:v>44.679792136205123</c:v>
                </c:pt>
                <c:pt idx="68">
                  <c:v>46.560037247935639</c:v>
                </c:pt>
                <c:pt idx="69">
                  <c:v>48.452157534960293</c:v>
                </c:pt>
                <c:pt idx="70">
                  <c:v>50.355049059440049</c:v>
                </c:pt>
                <c:pt idx="71">
                  <c:v>52.267698769243282</c:v>
                </c:pt>
                <c:pt idx="72">
                  <c:v>54.189178896608823</c:v>
                </c:pt>
                <c:pt idx="73">
                  <c:v>56.118641381933287</c:v>
                </c:pt>
                <c:pt idx="74">
                  <c:v>58.055312391396001</c:v>
                </c:pt>
                <c:pt idx="75">
                  <c:v>59.998486982522451</c:v>
                </c:pt>
                <c:pt idx="76">
                  <c:v>61.947523959136632</c:v>
                </c:pt>
                <c:pt idx="77">
                  <c:v>63.901840946316213</c:v>
                </c:pt>
                <c:pt idx="78">
                  <c:v>65.860909706782707</c:v>
                </c:pt>
                <c:pt idx="79">
                  <c:v>67.824251712472829</c:v>
                </c:pt>
                <c:pt idx="80">
                  <c:v>69.791433978673837</c:v>
                </c:pt>
                <c:pt idx="81">
                  <c:v>71.762065162917111</c:v>
                </c:pt>
                <c:pt idx="82">
                  <c:v>73.735791926652993</c:v>
                </c:pt>
                <c:pt idx="83">
                  <c:v>75.712295554442534</c:v>
                </c:pt>
                <c:pt idx="84">
                  <c:v>77.691288822867278</c:v>
                </c:pt>
                <c:pt idx="85">
                  <c:v>79.672513109466905</c:v>
                </c:pt>
                <c:pt idx="86">
                  <c:v>81.655735730657369</c:v>
                </c:pt>
                <c:pt idx="87">
                  <c:v>83.640747496675544</c:v>
                </c:pt>
                <c:pt idx="88">
                  <c:v>85.627360471055098</c:v>
                </c:pt>
                <c:pt idx="89">
                  <c:v>87.615405921896141</c:v>
                </c:pt>
                <c:pt idx="90">
                  <c:v>89.604732452190007</c:v>
                </c:pt>
                <c:pt idx="91">
                  <c:v>91.595204296643402</c:v>
                </c:pt>
                <c:pt idx="92">
                  <c:v>93.586699772779539</c:v>
                </c:pt>
                <c:pt idx="93">
                  <c:v>95.579109874530261</c:v>
                </c:pt>
                <c:pt idx="94">
                  <c:v>97.572336997054094</c:v>
                </c:pt>
                <c:pt idx="95">
                  <c:v>99.566293782083477</c:v>
                </c:pt>
                <c:pt idx="96">
                  <c:v>101.56090207371149</c:v>
                </c:pt>
                <c:pt idx="97">
                  <c:v>103.5560919751488</c:v>
                </c:pt>
                <c:pt idx="98">
                  <c:v>105.55180099760533</c:v>
                </c:pt>
                <c:pt idx="99">
                  <c:v>107.54797329307149</c:v>
                </c:pt>
                <c:pt idx="100">
                  <c:v>109.54455896337464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E6-4BA8-8544-B99552108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92696"/>
        <c:axId val="990193680"/>
      </c:scatterChart>
      <c:valAx>
        <c:axId val="99019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93680"/>
        <c:crosses val="autoZero"/>
        <c:crossBetween val="midCat"/>
      </c:valAx>
      <c:valAx>
        <c:axId val="99019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92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PUT!$D$5</c:f>
              <c:strCache>
                <c:ptCount val="1"/>
                <c:pt idx="0">
                  <c:v>Down and Out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PUT!$C$6:$C$106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PUT!$D$6:$D$106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1.8065318058433939E-13</c:v>
                </c:pt>
                <c:pt idx="8">
                  <c:v>-1.9667255491683776E-11</c:v>
                </c:pt>
                <c:pt idx="9">
                  <c:v>-1.0561618274282652E-9</c:v>
                </c:pt>
                <c:pt idx="10">
                  <c:v>-2.805405748913367E-8</c:v>
                </c:pt>
                <c:pt idx="11">
                  <c:v>-4.3285954185791499E-7</c:v>
                </c:pt>
                <c:pt idx="12">
                  <c:v>-4.3498253740027412E-6</c:v>
                </c:pt>
                <c:pt idx="13">
                  <c:v>-3.0954099409571424E-5</c:v>
                </c:pt>
                <c:pt idx="14">
                  <c:v>-1.6609931656381884E-4</c:v>
                </c:pt>
                <c:pt idx="15">
                  <c:v>-7.0522943807292335E-4</c:v>
                </c:pt>
                <c:pt idx="16">
                  <c:v>-2.4599111984996355E-3</c:v>
                </c:pt>
                <c:pt idx="17">
                  <c:v>-7.2620326242208155E-3</c:v>
                </c:pt>
                <c:pt idx="18">
                  <c:v>-1.8583184354817206E-2</c:v>
                </c:pt>
                <c:pt idx="19">
                  <c:v>-4.2026873903020401E-2</c:v>
                </c:pt>
                <c:pt idx="20">
                  <c:v>-8.5346097795951259E-2</c:v>
                </c:pt>
                <c:pt idx="21">
                  <c:v>-0.15768765643675353</c:v>
                </c:pt>
                <c:pt idx="22">
                  <c:v>-0.26799071920676454</c:v>
                </c:pt>
                <c:pt idx="23">
                  <c:v>-0.42278945015432701</c:v>
                </c:pt>
                <c:pt idx="24">
                  <c:v>-0.62394522957670695</c:v>
                </c:pt>
                <c:pt idx="25">
                  <c:v>-0.86693846571818867</c:v>
                </c:pt>
                <c:pt idx="26">
                  <c:v>-1.140238859653433</c:v>
                </c:pt>
                <c:pt idx="27">
                  <c:v>-1.4259944742473145</c:v>
                </c:pt>
                <c:pt idx="28">
                  <c:v>-1.7019408844149702</c:v>
                </c:pt>
                <c:pt idx="29">
                  <c:v>-1.9441449377716609</c:v>
                </c:pt>
                <c:pt idx="30">
                  <c:v>-2.1300395547904571</c:v>
                </c:pt>
                <c:pt idx="31">
                  <c:v>-2.241198534122617</c:v>
                </c:pt>
                <c:pt idx="32">
                  <c:v>-2.2654175614314127</c:v>
                </c:pt>
                <c:pt idx="33">
                  <c:v>-2.1978550700798216</c:v>
                </c:pt>
                <c:pt idx="34">
                  <c:v>-2.0409949112907135</c:v>
                </c:pt>
                <c:pt idx="35">
                  <c:v>-1.8039342828964671</c:v>
                </c:pt>
                <c:pt idx="36">
                  <c:v>-1.5010849072132721</c:v>
                </c:pt>
                <c:pt idx="37">
                  <c:v>-1.1501742753604329</c:v>
                </c:pt>
                <c:pt idx="38">
                  <c:v>-0.77053057176599715</c:v>
                </c:pt>
                <c:pt idx="39">
                  <c:v>-0.38125989863121301</c:v>
                </c:pt>
                <c:pt idx="40">
                  <c:v>-1.6789838908150452E-15</c:v>
                </c:pt>
                <c:pt idx="41">
                  <c:v>0.35827937365017526</c:v>
                </c:pt>
                <c:pt idx="42">
                  <c:v>0.68181014518316552</c:v>
                </c:pt>
                <c:pt idx="43">
                  <c:v>0.96219045262739122</c:v>
                </c:pt>
                <c:pt idx="44">
                  <c:v>1.1944631391382305</c:v>
                </c:pt>
                <c:pt idx="45">
                  <c:v>1.3766945364029262</c:v>
                </c:pt>
                <c:pt idx="46">
                  <c:v>1.5095417903699229</c:v>
                </c:pt>
                <c:pt idx="47">
                  <c:v>1.5957468601326283</c:v>
                </c:pt>
                <c:pt idx="48">
                  <c:v>1.6394959154836606</c:v>
                </c:pt>
                <c:pt idx="49">
                  <c:v>1.6459918432019123</c:v>
                </c:pt>
                <c:pt idx="50">
                  <c:v>1.6210008527303685</c:v>
                </c:pt>
                <c:pt idx="51">
                  <c:v>1.5703568204096641</c:v>
                </c:pt>
                <c:pt idx="52">
                  <c:v>1.4997235741094812</c:v>
                </c:pt>
                <c:pt idx="53">
                  <c:v>1.414380565678492</c:v>
                </c:pt>
                <c:pt idx="54">
                  <c:v>1.3190710852098988</c:v>
                </c:pt>
                <c:pt idx="55">
                  <c:v>1.2179174380817983</c:v>
                </c:pt>
                <c:pt idx="56">
                  <c:v>1.1143895041840093</c:v>
                </c:pt>
                <c:pt idx="57">
                  <c:v>1.0113136988720637</c:v>
                </c:pt>
                <c:pt idx="58">
                  <c:v>0.91091064270080047</c:v>
                </c:pt>
                <c:pt idx="59">
                  <c:v>0.81485152436032493</c:v>
                </c:pt>
                <c:pt idx="60">
                  <c:v>0.72432496796707824</c:v>
                </c:pt>
                <c:pt idx="61">
                  <c:v>0.64010801459921218</c:v>
                </c:pt>
                <c:pt idx="62">
                  <c:v>0.56263648052803106</c:v>
                </c:pt>
                <c:pt idx="63">
                  <c:v>0.4920713927949194</c:v>
                </c:pt>
                <c:pt idx="64">
                  <c:v>0.42835939732519979</c:v>
                </c:pt>
                <c:pt idx="65">
                  <c:v>0.37128598432460702</c:v>
                </c:pt>
                <c:pt idx="66">
                  <c:v>0.32052109731745748</c:v>
                </c:pt>
                <c:pt idx="67">
                  <c:v>0.27565721348080974</c:v>
                </c:pt>
                <c:pt idx="68">
                  <c:v>0.23624033625492391</c:v>
                </c:pt>
                <c:pt idx="69">
                  <c:v>0.20179455949140435</c:v>
                </c:pt>
                <c:pt idx="70">
                  <c:v>0.17184097648900121</c:v>
                </c:pt>
                <c:pt idx="71">
                  <c:v>0.1459117444085245</c:v>
                </c:pt>
                <c:pt idx="72">
                  <c:v>0.12356009771650589</c:v>
                </c:pt>
                <c:pt idx="73">
                  <c:v>0.10436705207216557</c:v>
                </c:pt>
                <c:pt idx="74">
                  <c:v>8.7945466912972226E-2</c:v>
                </c:pt>
                <c:pt idx="75">
                  <c:v>7.3942051758245864E-2</c:v>
                </c:pt>
                <c:pt idx="76">
                  <c:v>6.2037815697836729E-2</c:v>
                </c:pt>
                <c:pt idx="77">
                  <c:v>5.1947376945910895E-2</c:v>
                </c:pt>
                <c:pt idx="78">
                  <c:v>4.3417473039302101E-2</c:v>
                </c:pt>
                <c:pt idx="79">
                  <c:v>3.6224944090698652E-2</c:v>
                </c:pt>
                <c:pt idx="80">
                  <c:v>3.0174402249663723E-2</c:v>
                </c:pt>
                <c:pt idx="81">
                  <c:v>2.5095750205040679E-2</c:v>
                </c:pt>
                <c:pt idx="82">
                  <c:v>2.0841669727967416E-2</c:v>
                </c:pt>
                <c:pt idx="83">
                  <c:v>1.7285167156388226E-2</c:v>
                </c:pt>
                <c:pt idx="84">
                  <c:v>1.4317235463066846E-2</c:v>
                </c:pt>
                <c:pt idx="85">
                  <c:v>1.1844671186048594E-2</c:v>
                </c:pt>
                <c:pt idx="86">
                  <c:v>9.7880681125424307E-3</c:v>
                </c:pt>
                <c:pt idx="87">
                  <c:v>8.0799973302480288E-3</c:v>
                </c:pt>
                <c:pt idx="88">
                  <c:v>6.6633743258913414E-3</c:v>
                </c:pt>
                <c:pt idx="89">
                  <c:v>5.490007539387734E-3</c:v>
                </c:pt>
                <c:pt idx="90">
                  <c:v>4.5193185973661926E-3</c:v>
                </c:pt>
                <c:pt idx="91">
                  <c:v>3.7172218709269345E-3</c:v>
                </c:pt>
                <c:pt idx="92">
                  <c:v>3.0551496252141652E-3</c:v>
                </c:pt>
                <c:pt idx="93">
                  <c:v>2.5092085406712497E-3</c:v>
                </c:pt>
                <c:pt idx="94">
                  <c:v>2.059453522844458E-3</c:v>
                </c:pt>
                <c:pt idx="95">
                  <c:v>1.6892652867175964E-3</c:v>
                </c:pt>
                <c:pt idx="96">
                  <c:v>1.3848190452946836E-3</c:v>
                </c:pt>
                <c:pt idx="97">
                  <c:v>1.1346326361453205E-3</c:v>
                </c:pt>
                <c:pt idx="98">
                  <c:v>9.2918349988135168E-4</c:v>
                </c:pt>
                <c:pt idx="99">
                  <c:v>7.6058501733786837E-4</c:v>
                </c:pt>
                <c:pt idx="100">
                  <c:v>6.2231377832107186E-4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2-48F4-A5B9-B1395D9153B7}"/>
            </c:ext>
          </c:extLst>
        </c:ser>
        <c:ser>
          <c:idx val="1"/>
          <c:order val="1"/>
          <c:tx>
            <c:strRef>
              <c:f>PUT!$E$5</c:f>
              <c:strCache>
                <c:ptCount val="1"/>
                <c:pt idx="0">
                  <c:v>Vanilla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PUT!$C$6:$C$106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PUT!$E$6:$E$106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81.122942450071406</c:v>
                </c:pt>
                <c:pt idx="8">
                  <c:v>79.122942450071406</c:v>
                </c:pt>
                <c:pt idx="9">
                  <c:v>77.122942450071406</c:v>
                </c:pt>
                <c:pt idx="10">
                  <c:v>75.122942450071406</c:v>
                </c:pt>
                <c:pt idx="11">
                  <c:v>73.122942450071548</c:v>
                </c:pt>
                <c:pt idx="12">
                  <c:v>71.122942450075172</c:v>
                </c:pt>
                <c:pt idx="13">
                  <c:v>69.122942450135113</c:v>
                </c:pt>
                <c:pt idx="14">
                  <c:v>67.122942450835041</c:v>
                </c:pt>
                <c:pt idx="15">
                  <c:v>65.122942456923283</c:v>
                </c:pt>
                <c:pt idx="16">
                  <c:v>63.122942498225541</c:v>
                </c:pt>
                <c:pt idx="17">
                  <c:v>61.122942724879685</c:v>
                </c:pt>
                <c:pt idx="18">
                  <c:v>59.122943761319355</c:v>
                </c:pt>
                <c:pt idx="19">
                  <c:v>57.122947807920191</c:v>
                </c:pt>
                <c:pt idx="20">
                  <c:v>55.122961572851374</c:v>
                </c:pt>
                <c:pt idx="21">
                  <c:v>53.123003062260715</c:v>
                </c:pt>
                <c:pt idx="22">
                  <c:v>51.123115465039149</c:v>
                </c:pt>
                <c:pt idx="23">
                  <c:v>49.123392518508453</c:v>
                </c:pt>
                <c:pt idx="24">
                  <c:v>47.124020301956918</c:v>
                </c:pt>
                <c:pt idx="25">
                  <c:v>45.125339788742473</c:v>
                </c:pt>
                <c:pt idx="26">
                  <c:v>43.127932299097296</c:v>
                </c:pt>
                <c:pt idx="27">
                  <c:v>41.132726261547404</c:v>
                </c:pt>
                <c:pt idx="28">
                  <c:v>39.141118957040142</c:v>
                </c:pt>
                <c:pt idx="29">
                  <c:v>37.155102155589404</c:v>
                </c:pt>
                <c:pt idx="30">
                  <c:v>35.177376892182629</c:v>
                </c:pt>
                <c:pt idx="31">
                  <c:v>33.211441034787335</c:v>
                </c:pt>
                <c:pt idx="32">
                  <c:v>31.261634303368297</c:v>
                </c:pt>
                <c:pt idx="33">
                  <c:v>29.333128965115762</c:v>
                </c:pt>
                <c:pt idx="34">
                  <c:v>27.431859980829216</c:v>
                </c:pt>
                <c:pt idx="35">
                  <c:v>25.564394965934198</c:v>
                </c:pt>
                <c:pt idx="36">
                  <c:v>23.737750881733973</c:v>
                </c:pt>
                <c:pt idx="37">
                  <c:v>21.959169914783757</c:v>
                </c:pt>
                <c:pt idx="38">
                  <c:v>20.23587083451612</c:v>
                </c:pt>
                <c:pt idx="39">
                  <c:v>18.574793898149181</c:v>
                </c:pt>
                <c:pt idx="40">
                  <c:v>16.982357108429234</c:v>
                </c:pt>
                <c:pt idx="41">
                  <c:v>15.464239621189492</c:v>
                </c:pt>
                <c:pt idx="42">
                  <c:v>14.025204826438625</c:v>
                </c:pt>
                <c:pt idx="43">
                  <c:v>12.668971642474865</c:v>
                </c:pt>
                <c:pt idx="44">
                  <c:v>11.398138399975856</c:v>
                </c:pt>
                <c:pt idx="45">
                  <c:v>10.214159796600256</c:v>
                </c:pt>
                <c:pt idx="46">
                  <c:v>9.1173740923861288</c:v>
                </c:pt>
                <c:pt idx="47">
                  <c:v>8.1070651744716429</c:v>
                </c:pt>
                <c:pt idx="48">
                  <c:v>7.1814796802911189</c:v>
                </c:pt>
                <c:pt idx="49">
                  <c:v>6.3380457731726025</c:v>
                </c:pt>
                <c:pt idx="50">
                  <c:v>5.5735181169306571</c:v>
                </c:pt>
                <c:pt idx="51">
                  <c:v>4.8840089414343169</c:v>
                </c:pt>
                <c:pt idx="52">
                  <c:v>4.2651928807868167</c:v>
                </c:pt>
                <c:pt idx="53">
                  <c:v>3.7124475553858112</c:v>
                </c:pt>
                <c:pt idx="54">
                  <c:v>3.2209722500987468</c:v>
                </c:pt>
                <c:pt idx="55">
                  <c:v>2.7858967581576799</c:v>
                </c:pt>
                <c:pt idx="56">
                  <c:v>2.402377012805534</c:v>
                </c:pt>
                <c:pt idx="57">
                  <c:v>2.0656757871608455</c:v>
                </c:pt>
                <c:pt idx="58">
                  <c:v>1.7712279948731933</c:v>
                </c:pt>
                <c:pt idx="59">
                  <c:v>1.5146910329615295</c:v>
                </c:pt>
                <c:pt idx="60">
                  <c:v>1.2919812317463553</c:v>
                </c:pt>
                <c:pt idx="61">
                  <c:v>1.0992978683785761</c:v>
                </c:pt>
                <c:pt idx="62">
                  <c:v>0.93313640860719005</c:v>
                </c:pt>
                <c:pt idx="63">
                  <c:v>0.79029270923805583</c:v>
                </c:pt>
                <c:pt idx="64">
                  <c:v>0.66785987864689655</c:v>
                </c:pt>
                <c:pt idx="65">
                  <c:v>0.56321938632534874</c:v>
                </c:pt>
                <c:pt idx="66">
                  <c:v>0.47402786068229918</c:v>
                </c:pt>
                <c:pt idx="67">
                  <c:v>0.39820083777106241</c:v>
                </c:pt>
                <c:pt idx="68">
                  <c:v>0.33389453802298252</c:v>
                </c:pt>
                <c:pt idx="69">
                  <c:v>0.27948656497872904</c:v>
                </c:pt>
                <c:pt idx="70">
                  <c:v>0.23355624740876157</c:v>
                </c:pt>
                <c:pt idx="71">
                  <c:v>0.19486518918863371</c:v>
                </c:pt>
                <c:pt idx="72">
                  <c:v>0.16233845263729085</c:v>
                </c:pt>
                <c:pt idx="73">
                  <c:v>0.13504668179993007</c:v>
                </c:pt>
                <c:pt idx="74">
                  <c:v>0.11218937215504132</c:v>
                </c:pt>
                <c:pt idx="75">
                  <c:v>9.3079411388513833E-2</c:v>
                </c:pt>
                <c:pt idx="76">
                  <c:v>7.7128950590774403E-2</c:v>
                </c:pt>
                <c:pt idx="77">
                  <c:v>6.3836614597024721E-2</c:v>
                </c:pt>
                <c:pt idx="78">
                  <c:v>5.2776022190355265E-2</c:v>
                </c:pt>
                <c:pt idx="79">
                  <c:v>4.3585559533649398E-2</c:v>
                </c:pt>
                <c:pt idx="80">
                  <c:v>3.5959331616010726E-2</c:v>
                </c:pt>
                <c:pt idx="81">
                  <c:v>2.9639204983714751E-2</c:v>
                </c:pt>
                <c:pt idx="82">
                  <c:v>2.4407849068433352E-2</c:v>
                </c:pt>
                <c:pt idx="83">
                  <c:v>2.0082681724344464E-2</c:v>
                </c:pt>
                <c:pt idx="84">
                  <c:v>1.6510626044419052E-2</c:v>
                </c:pt>
                <c:pt idx="85">
                  <c:v>1.3563589236766621E-2</c:v>
                </c:pt>
                <c:pt idx="86">
                  <c:v>1.1134579574450854E-2</c:v>
                </c:pt>
                <c:pt idx="87">
                  <c:v>9.1343836017200863E-3</c:v>
                </c:pt>
                <c:pt idx="88">
                  <c:v>7.4887324405523148E-3</c:v>
                </c:pt>
                <c:pt idx="89">
                  <c:v>6.1358928513770977E-3</c:v>
                </c:pt>
                <c:pt idx="90">
                  <c:v>5.0246254147990332E-3</c:v>
                </c:pt>
                <c:pt idx="91">
                  <c:v>4.1124586424508697E-3</c:v>
                </c:pt>
                <c:pt idx="92">
                  <c:v>3.3642338777954556E-3</c:v>
                </c:pt>
                <c:pt idx="93">
                  <c:v>2.7508814449626121E-3</c:v>
                </c:pt>
                <c:pt idx="94">
                  <c:v>2.2483936069529961E-3</c:v>
                </c:pt>
                <c:pt idx="95">
                  <c:v>1.836964497549623E-3</c:v>
                </c:pt>
                <c:pt idx="96">
                  <c:v>1.5002713012084133E-3</c:v>
                </c:pt>
                <c:pt idx="97">
                  <c:v>1.2248745953218482E-3</c:v>
                </c:pt>
                <c:pt idx="98">
                  <c:v>9.9971896912219235E-4</c:v>
                </c:pt>
                <c:pt idx="99">
                  <c:v>8.1571782837427942E-4</c:v>
                </c:pt>
                <c:pt idx="100">
                  <c:v>6.6540872230267875E-4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2-48F4-A5B9-B1395D915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881520"/>
        <c:axId val="990882176"/>
      </c:scatterChart>
      <c:valAx>
        <c:axId val="99088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82176"/>
        <c:crosses val="autoZero"/>
        <c:crossBetween val="midCat"/>
      </c:valAx>
      <c:valAx>
        <c:axId val="9908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8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PUT!$J$5</c:f>
              <c:strCache>
                <c:ptCount val="1"/>
                <c:pt idx="0">
                  <c:v>Down and In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PUT!$I$6:$I$106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PUT!$J$6:$J$106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81.122942450071235</c:v>
                </c:pt>
                <c:pt idx="8">
                  <c:v>79.122942450091088</c:v>
                </c:pt>
                <c:pt idx="9">
                  <c:v>77.122942451127571</c:v>
                </c:pt>
                <c:pt idx="10">
                  <c:v>75.122942478125466</c:v>
                </c:pt>
                <c:pt idx="11">
                  <c:v>73.122942882931085</c:v>
                </c:pt>
                <c:pt idx="12">
                  <c:v>71.122946799900532</c:v>
                </c:pt>
                <c:pt idx="13">
                  <c:v>69.122973404234529</c:v>
                </c:pt>
                <c:pt idx="14">
                  <c:v>67.123108550151585</c:v>
                </c:pt>
                <c:pt idx="15">
                  <c:v>65.123647686361352</c:v>
                </c:pt>
                <c:pt idx="16">
                  <c:v>63.125402409424048</c:v>
                </c:pt>
                <c:pt idx="17">
                  <c:v>61.130204757503918</c:v>
                </c:pt>
                <c:pt idx="18">
                  <c:v>59.14152694567418</c:v>
                </c:pt>
                <c:pt idx="19">
                  <c:v>57.164974681823196</c:v>
                </c:pt>
                <c:pt idx="20">
                  <c:v>55.208307670647329</c:v>
                </c:pt>
                <c:pt idx="21">
                  <c:v>53.280690718697457</c:v>
                </c:pt>
                <c:pt idx="22">
                  <c:v>51.39110618424592</c:v>
                </c:pt>
                <c:pt idx="23">
                  <c:v>49.546181968662779</c:v>
                </c:pt>
                <c:pt idx="24">
                  <c:v>47.747965531533623</c:v>
                </c:pt>
                <c:pt idx="25">
                  <c:v>45.992278254460672</c:v>
                </c:pt>
                <c:pt idx="26">
                  <c:v>44.268171158750732</c:v>
                </c:pt>
                <c:pt idx="27">
                  <c:v>42.558720735794722</c:v>
                </c:pt>
                <c:pt idx="28">
                  <c:v>40.843059841455101</c:v>
                </c:pt>
                <c:pt idx="29">
                  <c:v>39.099247093361072</c:v>
                </c:pt>
                <c:pt idx="30">
                  <c:v>37.307416446973093</c:v>
                </c:pt>
                <c:pt idx="31">
                  <c:v>35.452639568909945</c:v>
                </c:pt>
                <c:pt idx="32">
                  <c:v>33.527051864799716</c:v>
                </c:pt>
                <c:pt idx="33">
                  <c:v>31.530984035195573</c:v>
                </c:pt>
                <c:pt idx="34">
                  <c:v>29.472854892119926</c:v>
                </c:pt>
                <c:pt idx="35">
                  <c:v>27.368329248830662</c:v>
                </c:pt>
                <c:pt idx="36">
                  <c:v>25.238835788947242</c:v>
                </c:pt>
                <c:pt idx="37">
                  <c:v>23.109344190144185</c:v>
                </c:pt>
                <c:pt idx="38">
                  <c:v>21.006401406282123</c:v>
                </c:pt>
                <c:pt idx="39">
                  <c:v>18.956053796780395</c:v>
                </c:pt>
                <c:pt idx="40">
                  <c:v>16.982357108429241</c:v>
                </c:pt>
                <c:pt idx="41">
                  <c:v>15.105960247539315</c:v>
                </c:pt>
                <c:pt idx="42">
                  <c:v>13.343394681255468</c:v>
                </c:pt>
                <c:pt idx="43">
                  <c:v>11.706781189847469</c:v>
                </c:pt>
                <c:pt idx="44">
                  <c:v>10.203675260837628</c:v>
                </c:pt>
                <c:pt idx="45">
                  <c:v>8.8374652601973267</c:v>
                </c:pt>
                <c:pt idx="46">
                  <c:v>7.607832302016206</c:v>
                </c:pt>
                <c:pt idx="47">
                  <c:v>6.5113183143390252</c:v>
                </c:pt>
                <c:pt idx="48">
                  <c:v>5.5419837648074548</c:v>
                </c:pt>
                <c:pt idx="49">
                  <c:v>4.6920539299706938</c:v>
                </c:pt>
                <c:pt idx="50">
                  <c:v>3.9525172642002904</c:v>
                </c:pt>
                <c:pt idx="51">
                  <c:v>3.3136521210246546</c:v>
                </c:pt>
                <c:pt idx="52">
                  <c:v>2.7654693066773355</c:v>
                </c:pt>
                <c:pt idx="53">
                  <c:v>2.2980669897073209</c:v>
                </c:pt>
                <c:pt idx="54">
                  <c:v>1.9019011648888489</c:v>
                </c:pt>
                <c:pt idx="55">
                  <c:v>1.5679793200758843</c:v>
                </c:pt>
                <c:pt idx="56">
                  <c:v>1.2879875086215229</c:v>
                </c:pt>
                <c:pt idx="57">
                  <c:v>1.0543620882887854</c:v>
                </c:pt>
                <c:pt idx="58">
                  <c:v>0.86031735217239325</c:v>
                </c:pt>
                <c:pt idx="59">
                  <c:v>0.69983950860120547</c:v>
                </c:pt>
                <c:pt idx="60">
                  <c:v>0.56765626377927747</c:v>
                </c:pt>
                <c:pt idx="61">
                  <c:v>0.45918985377936394</c:v>
                </c:pt>
                <c:pt idx="62">
                  <c:v>0.37049992807915721</c:v>
                </c:pt>
                <c:pt idx="63">
                  <c:v>0.2982213164431371</c:v>
                </c:pt>
                <c:pt idx="64">
                  <c:v>0.23950048132169677</c:v>
                </c:pt>
                <c:pt idx="65">
                  <c:v>0.19193340200074238</c:v>
                </c:pt>
                <c:pt idx="66">
                  <c:v>0.15350676336484148</c:v>
                </c:pt>
                <c:pt idx="67">
                  <c:v>0.12254362429025345</c:v>
                </c:pt>
                <c:pt idx="68">
                  <c:v>9.7654201768058724E-2</c:v>
                </c:pt>
                <c:pt idx="69">
                  <c:v>7.7692005487324189E-2</c:v>
                </c:pt>
                <c:pt idx="70">
                  <c:v>6.1715270919760035E-2</c:v>
                </c:pt>
                <c:pt idx="71">
                  <c:v>4.8953444780109018E-2</c:v>
                </c:pt>
                <c:pt idx="72">
                  <c:v>3.8778354920784769E-2</c:v>
                </c:pt>
                <c:pt idx="73">
                  <c:v>3.0679629727764501E-2</c:v>
                </c:pt>
                <c:pt idx="74">
                  <c:v>2.4243905242069028E-2</c:v>
                </c:pt>
                <c:pt idx="75">
                  <c:v>1.9137359630267789E-2</c:v>
                </c:pt>
                <c:pt idx="76">
                  <c:v>1.5091134892937584E-2</c:v>
                </c:pt>
                <c:pt idx="77">
                  <c:v>1.1889237651113778E-2</c:v>
                </c:pt>
                <c:pt idx="78">
                  <c:v>9.3585491510530874E-3</c:v>
                </c:pt>
                <c:pt idx="79">
                  <c:v>7.360615442950684E-3</c:v>
                </c:pt>
                <c:pt idx="80">
                  <c:v>5.7849293663470545E-3</c:v>
                </c:pt>
                <c:pt idx="81">
                  <c:v>4.5434547786740789E-3</c:v>
                </c:pt>
                <c:pt idx="82">
                  <c:v>3.5661793404659532E-3</c:v>
                </c:pt>
                <c:pt idx="83">
                  <c:v>2.7975145679562073E-3</c:v>
                </c:pt>
                <c:pt idx="84">
                  <c:v>2.1933905813521833E-3</c:v>
                </c:pt>
                <c:pt idx="85">
                  <c:v>1.7189180507180294E-3</c:v>
                </c:pt>
                <c:pt idx="86">
                  <c:v>1.3465114619084194E-3</c:v>
                </c:pt>
                <c:pt idx="87">
                  <c:v>1.0543862714720411E-3</c:v>
                </c:pt>
                <c:pt idx="88">
                  <c:v>8.2535811466098296E-4</c:v>
                </c:pt>
                <c:pt idx="89">
                  <c:v>6.4588531198936112E-4</c:v>
                </c:pt>
                <c:pt idx="90">
                  <c:v>5.0530681743282679E-4</c:v>
                </c:pt>
                <c:pt idx="91">
                  <c:v>3.9523677152392871E-4</c:v>
                </c:pt>
                <c:pt idx="92">
                  <c:v>3.0908425258130553E-4</c:v>
                </c:pt>
                <c:pt idx="93">
                  <c:v>2.4167290429135432E-4</c:v>
                </c:pt>
                <c:pt idx="94">
                  <c:v>1.8894008410853369E-4</c:v>
                </c:pt>
                <c:pt idx="95">
                  <c:v>1.476992108320281E-4</c:v>
                </c:pt>
                <c:pt idx="96">
                  <c:v>1.1545225591372998E-4</c:v>
                </c:pt>
                <c:pt idx="97">
                  <c:v>9.0241959176529834E-5</c:v>
                </c:pt>
                <c:pt idx="98">
                  <c:v>7.0535469240840453E-5</c:v>
                </c:pt>
                <c:pt idx="99">
                  <c:v>5.5132811036409825E-5</c:v>
                </c:pt>
                <c:pt idx="100">
                  <c:v>4.3094943981605263E-5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1CD-91E0-845D821EFCF4}"/>
            </c:ext>
          </c:extLst>
        </c:ser>
        <c:ser>
          <c:idx val="1"/>
          <c:order val="1"/>
          <c:tx>
            <c:strRef>
              <c:f>PUT!$K$5</c:f>
              <c:strCache>
                <c:ptCount val="1"/>
                <c:pt idx="0">
                  <c:v>Vanilla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PUT!$I$6:$I$106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PUT!$K$6:$K$106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81.122942450071406</c:v>
                </c:pt>
                <c:pt idx="8">
                  <c:v>79.122942450071406</c:v>
                </c:pt>
                <c:pt idx="9">
                  <c:v>77.122942450071406</c:v>
                </c:pt>
                <c:pt idx="10">
                  <c:v>75.122942450071406</c:v>
                </c:pt>
                <c:pt idx="11">
                  <c:v>73.122942450071548</c:v>
                </c:pt>
                <c:pt idx="12">
                  <c:v>71.122942450075172</c:v>
                </c:pt>
                <c:pt idx="13">
                  <c:v>69.122942450135113</c:v>
                </c:pt>
                <c:pt idx="14">
                  <c:v>67.122942450835041</c:v>
                </c:pt>
                <c:pt idx="15">
                  <c:v>65.122942456923283</c:v>
                </c:pt>
                <c:pt idx="16">
                  <c:v>63.122942498225541</c:v>
                </c:pt>
                <c:pt idx="17">
                  <c:v>61.122942724879685</c:v>
                </c:pt>
                <c:pt idx="18">
                  <c:v>59.122943761319355</c:v>
                </c:pt>
                <c:pt idx="19">
                  <c:v>57.122947807920191</c:v>
                </c:pt>
                <c:pt idx="20">
                  <c:v>55.122961572851374</c:v>
                </c:pt>
                <c:pt idx="21">
                  <c:v>53.123003062260715</c:v>
                </c:pt>
                <c:pt idx="22">
                  <c:v>51.123115465039149</c:v>
                </c:pt>
                <c:pt idx="23">
                  <c:v>49.123392518508453</c:v>
                </c:pt>
                <c:pt idx="24">
                  <c:v>47.124020301956918</c:v>
                </c:pt>
                <c:pt idx="25">
                  <c:v>45.125339788742473</c:v>
                </c:pt>
                <c:pt idx="26">
                  <c:v>43.127932299097296</c:v>
                </c:pt>
                <c:pt idx="27">
                  <c:v>41.132726261547404</c:v>
                </c:pt>
                <c:pt idx="28">
                  <c:v>39.141118957040142</c:v>
                </c:pt>
                <c:pt idx="29">
                  <c:v>37.155102155589404</c:v>
                </c:pt>
                <c:pt idx="30">
                  <c:v>35.177376892182629</c:v>
                </c:pt>
                <c:pt idx="31">
                  <c:v>33.211441034787335</c:v>
                </c:pt>
                <c:pt idx="32">
                  <c:v>31.261634303368297</c:v>
                </c:pt>
                <c:pt idx="33">
                  <c:v>29.333128965115762</c:v>
                </c:pt>
                <c:pt idx="34">
                  <c:v>27.431859980829216</c:v>
                </c:pt>
                <c:pt idx="35">
                  <c:v>25.564394965934198</c:v>
                </c:pt>
                <c:pt idx="36">
                  <c:v>23.737750881733973</c:v>
                </c:pt>
                <c:pt idx="37">
                  <c:v>21.959169914783757</c:v>
                </c:pt>
                <c:pt idx="38">
                  <c:v>20.23587083451612</c:v>
                </c:pt>
                <c:pt idx="39">
                  <c:v>18.574793898149181</c:v>
                </c:pt>
                <c:pt idx="40">
                  <c:v>16.982357108429234</c:v>
                </c:pt>
                <c:pt idx="41">
                  <c:v>15.464239621189492</c:v>
                </c:pt>
                <c:pt idx="42">
                  <c:v>14.025204826438625</c:v>
                </c:pt>
                <c:pt idx="43">
                  <c:v>12.668971642474865</c:v>
                </c:pt>
                <c:pt idx="44">
                  <c:v>11.398138399975856</c:v>
                </c:pt>
                <c:pt idx="45">
                  <c:v>10.214159796600256</c:v>
                </c:pt>
                <c:pt idx="46">
                  <c:v>9.1173740923861288</c:v>
                </c:pt>
                <c:pt idx="47">
                  <c:v>8.1070651744716429</c:v>
                </c:pt>
                <c:pt idx="48">
                  <c:v>7.1814796802911189</c:v>
                </c:pt>
                <c:pt idx="49">
                  <c:v>6.3380457731726025</c:v>
                </c:pt>
                <c:pt idx="50">
                  <c:v>5.5735181169306571</c:v>
                </c:pt>
                <c:pt idx="51">
                  <c:v>4.8840089414343169</c:v>
                </c:pt>
                <c:pt idx="52">
                  <c:v>4.2651928807868167</c:v>
                </c:pt>
                <c:pt idx="53">
                  <c:v>3.7124475553858112</c:v>
                </c:pt>
                <c:pt idx="54">
                  <c:v>3.2209722500987468</c:v>
                </c:pt>
                <c:pt idx="55">
                  <c:v>2.7858967581576799</c:v>
                </c:pt>
                <c:pt idx="56">
                  <c:v>2.402377012805534</c:v>
                </c:pt>
                <c:pt idx="57">
                  <c:v>2.0656757871608455</c:v>
                </c:pt>
                <c:pt idx="58">
                  <c:v>1.7712279948731933</c:v>
                </c:pt>
                <c:pt idx="59">
                  <c:v>1.5146910329615295</c:v>
                </c:pt>
                <c:pt idx="60">
                  <c:v>1.2919812317463553</c:v>
                </c:pt>
                <c:pt idx="61">
                  <c:v>1.0992978683785761</c:v>
                </c:pt>
                <c:pt idx="62">
                  <c:v>0.93313640860719005</c:v>
                </c:pt>
                <c:pt idx="63">
                  <c:v>0.79029270923805583</c:v>
                </c:pt>
                <c:pt idx="64">
                  <c:v>0.66785987864689655</c:v>
                </c:pt>
                <c:pt idx="65">
                  <c:v>0.56321938632534874</c:v>
                </c:pt>
                <c:pt idx="66">
                  <c:v>0.47402786068229918</c:v>
                </c:pt>
                <c:pt idx="67">
                  <c:v>0.39820083777106241</c:v>
                </c:pt>
                <c:pt idx="68">
                  <c:v>0.33389453802298252</c:v>
                </c:pt>
                <c:pt idx="69">
                  <c:v>0.27948656497872904</c:v>
                </c:pt>
                <c:pt idx="70">
                  <c:v>0.23355624740876157</c:v>
                </c:pt>
                <c:pt idx="71">
                  <c:v>0.19486518918863371</c:v>
                </c:pt>
                <c:pt idx="72">
                  <c:v>0.16233845263729085</c:v>
                </c:pt>
                <c:pt idx="73">
                  <c:v>0.13504668179993007</c:v>
                </c:pt>
                <c:pt idx="74">
                  <c:v>0.11218937215504132</c:v>
                </c:pt>
                <c:pt idx="75">
                  <c:v>9.3079411388513833E-2</c:v>
                </c:pt>
                <c:pt idx="76">
                  <c:v>7.7128950590774403E-2</c:v>
                </c:pt>
                <c:pt idx="77">
                  <c:v>6.3836614597024721E-2</c:v>
                </c:pt>
                <c:pt idx="78">
                  <c:v>5.2776022190355265E-2</c:v>
                </c:pt>
                <c:pt idx="79">
                  <c:v>4.3585559533649398E-2</c:v>
                </c:pt>
                <c:pt idx="80">
                  <c:v>3.5959331616010726E-2</c:v>
                </c:pt>
                <c:pt idx="81">
                  <c:v>2.9639204983714751E-2</c:v>
                </c:pt>
                <c:pt idx="82">
                  <c:v>2.4407849068433352E-2</c:v>
                </c:pt>
                <c:pt idx="83">
                  <c:v>2.0082681724344464E-2</c:v>
                </c:pt>
                <c:pt idx="84">
                  <c:v>1.6510626044419052E-2</c:v>
                </c:pt>
                <c:pt idx="85">
                  <c:v>1.3563589236766621E-2</c:v>
                </c:pt>
                <c:pt idx="86">
                  <c:v>1.1134579574450854E-2</c:v>
                </c:pt>
                <c:pt idx="87">
                  <c:v>9.1343836017200863E-3</c:v>
                </c:pt>
                <c:pt idx="88">
                  <c:v>7.4887324405523148E-3</c:v>
                </c:pt>
                <c:pt idx="89">
                  <c:v>6.1358928513770977E-3</c:v>
                </c:pt>
                <c:pt idx="90">
                  <c:v>5.0246254147990332E-3</c:v>
                </c:pt>
                <c:pt idx="91">
                  <c:v>4.1124586424508697E-3</c:v>
                </c:pt>
                <c:pt idx="92">
                  <c:v>3.3642338777954556E-3</c:v>
                </c:pt>
                <c:pt idx="93">
                  <c:v>2.7508814449626121E-3</c:v>
                </c:pt>
                <c:pt idx="94">
                  <c:v>2.2483936069529961E-3</c:v>
                </c:pt>
                <c:pt idx="95">
                  <c:v>1.836964497549623E-3</c:v>
                </c:pt>
                <c:pt idx="96">
                  <c:v>1.5002713012084133E-3</c:v>
                </c:pt>
                <c:pt idx="97">
                  <c:v>1.2248745953218482E-3</c:v>
                </c:pt>
                <c:pt idx="98">
                  <c:v>9.9971896912219235E-4</c:v>
                </c:pt>
                <c:pt idx="99">
                  <c:v>8.1571782837427942E-4</c:v>
                </c:pt>
                <c:pt idx="100">
                  <c:v>6.6540872230267875E-4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1CD-91E0-845D821EF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977480"/>
        <c:axId val="932979448"/>
      </c:scatterChart>
      <c:valAx>
        <c:axId val="93297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79448"/>
        <c:crosses val="autoZero"/>
        <c:crossBetween val="midCat"/>
      </c:valAx>
      <c:valAx>
        <c:axId val="93297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97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PUT!$P$5</c:f>
              <c:strCache>
                <c:ptCount val="1"/>
                <c:pt idx="0">
                  <c:v>Up and Out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PUT!$O$6:$O$106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PUT!$P$6:$P$106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81.122942450071406</c:v>
                </c:pt>
                <c:pt idx="8">
                  <c:v>79.122942450071264</c:v>
                </c:pt>
                <c:pt idx="9">
                  <c:v>77.122942450066233</c:v>
                </c:pt>
                <c:pt idx="10">
                  <c:v>75.122942449849958</c:v>
                </c:pt>
                <c:pt idx="11">
                  <c:v>73.122942444725965</c:v>
                </c:pt>
                <c:pt idx="12">
                  <c:v>71.122942369520302</c:v>
                </c:pt>
                <c:pt idx="13">
                  <c:v>69.122941620353785</c:v>
                </c:pt>
                <c:pt idx="14">
                  <c:v>67.122936193984586</c:v>
                </c:pt>
                <c:pt idx="15">
                  <c:v>65.12290605162562</c:v>
                </c:pt>
                <c:pt idx="16">
                  <c:v>63.122772150502271</c:v>
                </c:pt>
                <c:pt idx="17">
                  <c:v>61.122280263176869</c:v>
                </c:pt>
                <c:pt idx="18">
                  <c:v>59.120745018599692</c:v>
                </c:pt>
                <c:pt idx="19">
                  <c:v>57.116582705831483</c:v>
                </c:pt>
                <c:pt idx="20">
                  <c:v>55.106599321716857</c:v>
                </c:pt>
                <c:pt idx="21">
                  <c:v>53.085090230673586</c:v>
                </c:pt>
                <c:pt idx="22">
                  <c:v>51.042928258153438</c:v>
                </c:pt>
                <c:pt idx="23">
                  <c:v>48.966918793185599</c:v>
                </c:pt>
                <c:pt idx="24">
                  <c:v>46.839729152915631</c:v>
                </c:pt>
                <c:pt idx="25">
                  <c:v>44.64062489486524</c:v>
                </c:pt>
                <c:pt idx="26">
                  <c:v>42.347079477481962</c:v>
                </c:pt>
                <c:pt idx="27">
                  <c:v>39.937114831865436</c:v>
                </c:pt>
                <c:pt idx="28">
                  <c:v>37.392044237181082</c:v>
                </c:pt>
                <c:pt idx="29">
                  <c:v>34.699180340806038</c:v>
                </c:pt>
                <c:pt idx="30">
                  <c:v>31.854066446225225</c:v>
                </c:pt>
                <c:pt idx="31">
                  <c:v>28.861881238629039</c:v>
                </c:pt>
                <c:pt idx="32">
                  <c:v>25.73782350024748</c:v>
                </c:pt>
                <c:pt idx="33">
                  <c:v>22.506460654300113</c:v>
                </c:pt>
                <c:pt idx="34">
                  <c:v>19.200182909227173</c:v>
                </c:pt>
                <c:pt idx="35">
                  <c:v>15.857015791124113</c:v>
                </c:pt>
                <c:pt idx="36">
                  <c:v>12.518096524242146</c:v>
                </c:pt>
                <c:pt idx="37">
                  <c:v>9.2251170687383759</c:v>
                </c:pt>
                <c:pt idx="38">
                  <c:v>6.0179487426148963</c:v>
                </c:pt>
                <c:pt idx="39">
                  <c:v>2.9326107352796509</c:v>
                </c:pt>
                <c:pt idx="40">
                  <c:v>0</c:v>
                </c:pt>
                <c:pt idx="41">
                  <c:v>-2.75519028302873</c:v>
                </c:pt>
                <c:pt idx="42">
                  <c:v>-5.3147799499174937</c:v>
                </c:pt>
                <c:pt idx="43">
                  <c:v>-7.6669699360935848</c:v>
                </c:pt>
                <c:pt idx="44">
                  <c:v>-9.8060810245115739</c:v>
                </c:pt>
                <c:pt idx="45">
                  <c:v>-11.731771787743028</c:v>
                </c:pt>
                <c:pt idx="46">
                  <c:v>-13.448240164310569</c:v>
                </c:pt>
                <c:pt idx="47">
                  <c:v>-14.963368127555555</c:v>
                </c:pt>
                <c:pt idx="48">
                  <c:v>-16.28782854886521</c:v>
                </c:pt>
                <c:pt idx="49">
                  <c:v>-17.434252359343908</c:v>
                </c:pt>
                <c:pt idx="50">
                  <c:v>-18.416487340622364</c:v>
                </c:pt>
                <c:pt idx="51">
                  <c:v>-19.248966190406296</c:v>
                </c:pt>
                <c:pt idx="52">
                  <c:v>-19.946190074285742</c:v>
                </c:pt>
                <c:pt idx="53">
                  <c:v>-20.522325129724273</c:v>
                </c:pt>
                <c:pt idx="54">
                  <c:v>-20.990903304836937</c:v>
                </c:pt>
                <c:pt idx="55">
                  <c:v>-21.3646151933441</c:v>
                </c:pt>
                <c:pt idx="56">
                  <c:v>-21.655180735207423</c:v>
                </c:pt>
                <c:pt idx="57">
                  <c:v>-21.873283322787596</c:v>
                </c:pt>
                <c:pt idx="58">
                  <c:v>-22.028553545431819</c:v>
                </c:pt>
                <c:pt idx="59">
                  <c:v>-22.129590143366908</c:v>
                </c:pt>
                <c:pt idx="60">
                  <c:v>-22.184007422295487</c:v>
                </c:pt>
                <c:pt idx="61">
                  <c:v>-22.198500176793452</c:v>
                </c:pt>
                <c:pt idx="62">
                  <c:v>-22.178918925688869</c:v>
                </c:pt>
                <c:pt idx="63">
                  <c:v>-22.130349875574154</c:v>
                </c:pt>
                <c:pt idx="64">
                  <c:v>-22.057195443904497</c:v>
                </c:pt>
                <c:pt idx="65">
                  <c:v>-21.963252368364977</c:v>
                </c:pt>
                <c:pt idx="66">
                  <c:v>-21.851785404864412</c:v>
                </c:pt>
                <c:pt idx="67">
                  <c:v>-21.725595387739901</c:v>
                </c:pt>
                <c:pt idx="68">
                  <c:v>-21.587081015822505</c:v>
                </c:pt>
                <c:pt idx="69">
                  <c:v>-21.438294163749671</c:v>
                </c:pt>
                <c:pt idx="70">
                  <c:v>-21.280988826502529</c:v>
                </c:pt>
                <c:pt idx="71">
                  <c:v>-21.116664012139577</c:v>
                </c:pt>
                <c:pt idx="72">
                  <c:v>-20.946601025861717</c:v>
                </c:pt>
                <c:pt idx="73">
                  <c:v>-20.771895657372099</c:v>
                </c:pt>
                <c:pt idx="74">
                  <c:v>-20.593485809133195</c:v>
                </c:pt>
                <c:pt idx="75">
                  <c:v>-20.41217509855689</c:v>
                </c:pt>
                <c:pt idx="76">
                  <c:v>-20.228652942547797</c:v>
                </c:pt>
                <c:pt idx="77">
                  <c:v>-20.043511595888379</c:v>
                </c:pt>
                <c:pt idx="78">
                  <c:v>-19.857260571425961</c:v>
                </c:pt>
                <c:pt idx="79">
                  <c:v>-19.670338823990541</c:v>
                </c:pt>
                <c:pt idx="80">
                  <c:v>-19.483125034258009</c:v>
                </c:pt>
                <c:pt idx="81">
                  <c:v>-19.295946285214157</c:v>
                </c:pt>
                <c:pt idx="82">
                  <c:v>-19.109085383580009</c:v>
                </c:pt>
                <c:pt idx="83">
                  <c:v>-18.922787042106751</c:v>
                </c:pt>
                <c:pt idx="84">
                  <c:v>-18.737263106242786</c:v>
                </c:pt>
                <c:pt idx="85">
                  <c:v>-18.552696980268237</c:v>
                </c:pt>
                <c:pt idx="86">
                  <c:v>-18.369247383376578</c:v>
                </c:pt>
                <c:pt idx="87">
                  <c:v>-18.187051545053926</c:v>
                </c:pt>
                <c:pt idx="88">
                  <c:v>-18.006227931116783</c:v>
                </c:pt>
                <c:pt idx="89">
                  <c:v>-17.826878576554861</c:v>
                </c:pt>
                <c:pt idx="90">
                  <c:v>-17.649091088530511</c:v>
                </c:pt>
                <c:pt idx="91">
                  <c:v>-17.472940372180631</c:v>
                </c:pt>
                <c:pt idx="92">
                  <c:v>-17.298490122940482</c:v>
                </c:pt>
                <c:pt idx="93">
                  <c:v>-17.125794121695165</c:v>
                </c:pt>
                <c:pt idx="94">
                  <c:v>-16.954897362919731</c:v>
                </c:pt>
                <c:pt idx="95">
                  <c:v>-16.785837040888282</c:v>
                </c:pt>
                <c:pt idx="96">
                  <c:v>-16.61864341483745</c:v>
                </c:pt>
                <c:pt idx="97">
                  <c:v>-16.453340570507947</c:v>
                </c:pt>
                <c:pt idx="98">
                  <c:v>-16.289947092635241</c:v>
                </c:pt>
                <c:pt idx="99">
                  <c:v>-16.128476660605884</c:v>
                </c:pt>
                <c:pt idx="100">
                  <c:v>-15.968938577554574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1-4F54-BC07-C94B1D42028B}"/>
            </c:ext>
          </c:extLst>
        </c:ser>
        <c:ser>
          <c:idx val="1"/>
          <c:order val="1"/>
          <c:tx>
            <c:strRef>
              <c:f>PUT!$Q$5</c:f>
              <c:strCache>
                <c:ptCount val="1"/>
                <c:pt idx="0">
                  <c:v>Vanilla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PUT!$O$6:$O$106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PUT!$Q$6:$Q$106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81.122942450071406</c:v>
                </c:pt>
                <c:pt idx="8">
                  <c:v>79.122942450071406</c:v>
                </c:pt>
                <c:pt idx="9">
                  <c:v>77.122942450071406</c:v>
                </c:pt>
                <c:pt idx="10">
                  <c:v>75.122942450071406</c:v>
                </c:pt>
                <c:pt idx="11">
                  <c:v>73.122942450071548</c:v>
                </c:pt>
                <c:pt idx="12">
                  <c:v>71.122942450075172</c:v>
                </c:pt>
                <c:pt idx="13">
                  <c:v>69.122942450135113</c:v>
                </c:pt>
                <c:pt idx="14">
                  <c:v>67.122942450835041</c:v>
                </c:pt>
                <c:pt idx="15">
                  <c:v>65.122942456923283</c:v>
                </c:pt>
                <c:pt idx="16">
                  <c:v>63.122942498225541</c:v>
                </c:pt>
                <c:pt idx="17">
                  <c:v>61.122942724879685</c:v>
                </c:pt>
                <c:pt idx="18">
                  <c:v>59.122943761319355</c:v>
                </c:pt>
                <c:pt idx="19">
                  <c:v>57.122947807920191</c:v>
                </c:pt>
                <c:pt idx="20">
                  <c:v>55.122961572851374</c:v>
                </c:pt>
                <c:pt idx="21">
                  <c:v>53.123003062260715</c:v>
                </c:pt>
                <c:pt idx="22">
                  <c:v>51.123115465039149</c:v>
                </c:pt>
                <c:pt idx="23">
                  <c:v>49.123392518508453</c:v>
                </c:pt>
                <c:pt idx="24">
                  <c:v>47.124020301956918</c:v>
                </c:pt>
                <c:pt idx="25">
                  <c:v>45.125339788742473</c:v>
                </c:pt>
                <c:pt idx="26">
                  <c:v>43.127932299097296</c:v>
                </c:pt>
                <c:pt idx="27">
                  <c:v>41.132726261547404</c:v>
                </c:pt>
                <c:pt idx="28">
                  <c:v>39.141118957040142</c:v>
                </c:pt>
                <c:pt idx="29">
                  <c:v>37.155102155589404</c:v>
                </c:pt>
                <c:pt idx="30">
                  <c:v>35.177376892182629</c:v>
                </c:pt>
                <c:pt idx="31">
                  <c:v>33.211441034787335</c:v>
                </c:pt>
                <c:pt idx="32">
                  <c:v>31.261634303368297</c:v>
                </c:pt>
                <c:pt idx="33">
                  <c:v>29.333128965115762</c:v>
                </c:pt>
                <c:pt idx="34">
                  <c:v>27.431859980829216</c:v>
                </c:pt>
                <c:pt idx="35">
                  <c:v>25.564394965934198</c:v>
                </c:pt>
                <c:pt idx="36">
                  <c:v>23.737750881733973</c:v>
                </c:pt>
                <c:pt idx="37">
                  <c:v>21.959169914783757</c:v>
                </c:pt>
                <c:pt idx="38">
                  <c:v>20.23587083451612</c:v>
                </c:pt>
                <c:pt idx="39">
                  <c:v>18.574793898149181</c:v>
                </c:pt>
                <c:pt idx="40">
                  <c:v>16.982357108429234</c:v>
                </c:pt>
                <c:pt idx="41">
                  <c:v>15.464239621189492</c:v>
                </c:pt>
                <c:pt idx="42">
                  <c:v>14.025204826438625</c:v>
                </c:pt>
                <c:pt idx="43">
                  <c:v>12.668971642474865</c:v>
                </c:pt>
                <c:pt idx="44">
                  <c:v>11.398138399975856</c:v>
                </c:pt>
                <c:pt idx="45">
                  <c:v>10.214159796600256</c:v>
                </c:pt>
                <c:pt idx="46">
                  <c:v>9.1173740923861288</c:v>
                </c:pt>
                <c:pt idx="47">
                  <c:v>8.1070651744716429</c:v>
                </c:pt>
                <c:pt idx="48">
                  <c:v>7.1814796802911189</c:v>
                </c:pt>
                <c:pt idx="49">
                  <c:v>6.3380457731726025</c:v>
                </c:pt>
                <c:pt idx="50">
                  <c:v>5.5735181169306571</c:v>
                </c:pt>
                <c:pt idx="51">
                  <c:v>4.8840089414343169</c:v>
                </c:pt>
                <c:pt idx="52">
                  <c:v>4.2651928807868167</c:v>
                </c:pt>
                <c:pt idx="53">
                  <c:v>3.7124475553858112</c:v>
                </c:pt>
                <c:pt idx="54">
                  <c:v>3.2209722500987468</c:v>
                </c:pt>
                <c:pt idx="55">
                  <c:v>2.7858967581576799</c:v>
                </c:pt>
                <c:pt idx="56">
                  <c:v>2.402377012805534</c:v>
                </c:pt>
                <c:pt idx="57">
                  <c:v>2.0656757871608455</c:v>
                </c:pt>
                <c:pt idx="58">
                  <c:v>1.7712279948731933</c:v>
                </c:pt>
                <c:pt idx="59">
                  <c:v>1.5146910329615295</c:v>
                </c:pt>
                <c:pt idx="60">
                  <c:v>1.2919812317463553</c:v>
                </c:pt>
                <c:pt idx="61">
                  <c:v>1.0992978683785761</c:v>
                </c:pt>
                <c:pt idx="62">
                  <c:v>0.93313640860719005</c:v>
                </c:pt>
                <c:pt idx="63">
                  <c:v>0.79029270923805583</c:v>
                </c:pt>
                <c:pt idx="64">
                  <c:v>0.66785987864689655</c:v>
                </c:pt>
                <c:pt idx="65">
                  <c:v>0.56321938632534874</c:v>
                </c:pt>
                <c:pt idx="66">
                  <c:v>0.47402786068229918</c:v>
                </c:pt>
                <c:pt idx="67">
                  <c:v>0.39820083777106241</c:v>
                </c:pt>
                <c:pt idx="68">
                  <c:v>0.33389453802298252</c:v>
                </c:pt>
                <c:pt idx="69">
                  <c:v>0.27948656497872904</c:v>
                </c:pt>
                <c:pt idx="70">
                  <c:v>0.23355624740876157</c:v>
                </c:pt>
                <c:pt idx="71">
                  <c:v>0.19486518918863371</c:v>
                </c:pt>
                <c:pt idx="72">
                  <c:v>0.16233845263729085</c:v>
                </c:pt>
                <c:pt idx="73">
                  <c:v>0.13504668179993007</c:v>
                </c:pt>
                <c:pt idx="74">
                  <c:v>0.11218937215504132</c:v>
                </c:pt>
                <c:pt idx="75">
                  <c:v>9.3079411388513833E-2</c:v>
                </c:pt>
                <c:pt idx="76">
                  <c:v>7.7128950590774403E-2</c:v>
                </c:pt>
                <c:pt idx="77">
                  <c:v>6.3836614597024721E-2</c:v>
                </c:pt>
                <c:pt idx="78">
                  <c:v>5.2776022190355265E-2</c:v>
                </c:pt>
                <c:pt idx="79">
                  <c:v>4.3585559533649398E-2</c:v>
                </c:pt>
                <c:pt idx="80">
                  <c:v>3.5959331616010726E-2</c:v>
                </c:pt>
                <c:pt idx="81">
                  <c:v>2.9639204983714751E-2</c:v>
                </c:pt>
                <c:pt idx="82">
                  <c:v>2.4407849068433352E-2</c:v>
                </c:pt>
                <c:pt idx="83">
                  <c:v>2.0082681724344464E-2</c:v>
                </c:pt>
                <c:pt idx="84">
                  <c:v>1.6510626044419052E-2</c:v>
                </c:pt>
                <c:pt idx="85">
                  <c:v>1.3563589236766621E-2</c:v>
                </c:pt>
                <c:pt idx="86">
                  <c:v>1.1134579574450854E-2</c:v>
                </c:pt>
                <c:pt idx="87">
                  <c:v>9.1343836017200863E-3</c:v>
                </c:pt>
                <c:pt idx="88">
                  <c:v>7.4887324405523148E-3</c:v>
                </c:pt>
                <c:pt idx="89">
                  <c:v>6.1358928513770977E-3</c:v>
                </c:pt>
                <c:pt idx="90">
                  <c:v>5.0246254147990332E-3</c:v>
                </c:pt>
                <c:pt idx="91">
                  <c:v>4.1124586424508697E-3</c:v>
                </c:pt>
                <c:pt idx="92">
                  <c:v>3.3642338777954556E-3</c:v>
                </c:pt>
                <c:pt idx="93">
                  <c:v>2.7508814449626121E-3</c:v>
                </c:pt>
                <c:pt idx="94">
                  <c:v>2.2483936069529961E-3</c:v>
                </c:pt>
                <c:pt idx="95">
                  <c:v>1.836964497549623E-3</c:v>
                </c:pt>
                <c:pt idx="96">
                  <c:v>1.5002713012084133E-3</c:v>
                </c:pt>
                <c:pt idx="97">
                  <c:v>1.2248745953218482E-3</c:v>
                </c:pt>
                <c:pt idx="98">
                  <c:v>9.9971896912219235E-4</c:v>
                </c:pt>
                <c:pt idx="99">
                  <c:v>8.1571782837427942E-4</c:v>
                </c:pt>
                <c:pt idx="100">
                  <c:v>6.6540872230267875E-4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1-4F54-BC07-C94B1D420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753032"/>
        <c:axId val="957753688"/>
      </c:scatterChart>
      <c:valAx>
        <c:axId val="95775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753688"/>
        <c:crosses val="autoZero"/>
        <c:crossBetween val="midCat"/>
      </c:valAx>
      <c:valAx>
        <c:axId val="9577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753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PUT!$V$5</c:f>
              <c:strCache>
                <c:ptCount val="1"/>
                <c:pt idx="0">
                  <c:v>Up and In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PUT!$U$6:$U$106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PUT!$V$6:$V$106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1.4345248095423454E-13</c:v>
                </c:pt>
                <c:pt idx="9">
                  <c:v>5.1745037857488853E-12</c:v>
                </c:pt>
                <c:pt idx="10">
                  <c:v>2.2145269877035128E-10</c:v>
                </c:pt>
                <c:pt idx="11">
                  <c:v>5.3455926997554999E-9</c:v>
                </c:pt>
                <c:pt idx="12">
                  <c:v>8.0554869733991845E-8</c:v>
                </c:pt>
                <c:pt idx="13">
                  <c:v>8.2978133317919154E-7</c:v>
                </c:pt>
                <c:pt idx="14">
                  <c:v>6.2568504520666823E-6</c:v>
                </c:pt>
                <c:pt idx="15">
                  <c:v>3.6405297648860191E-5</c:v>
                </c:pt>
                <c:pt idx="16">
                  <c:v>1.703477232740477E-4</c:v>
                </c:pt>
                <c:pt idx="17">
                  <c:v>6.6246170280617571E-4</c:v>
                </c:pt>
                <c:pt idx="18">
                  <c:v>2.198742719678369E-3</c:v>
                </c:pt>
                <c:pt idx="19">
                  <c:v>6.3651020886981297E-3</c:v>
                </c:pt>
                <c:pt idx="20">
                  <c:v>1.6362251134516781E-2</c:v>
                </c:pt>
                <c:pt idx="21">
                  <c:v>3.7912831587120499E-2</c:v>
                </c:pt>
                <c:pt idx="22">
                  <c:v>8.0187206885715512E-2</c:v>
                </c:pt>
                <c:pt idx="23">
                  <c:v>0.15647372532286719</c:v>
                </c:pt>
                <c:pt idx="24">
                  <c:v>0.28429114904128538</c:v>
                </c:pt>
                <c:pt idx="25">
                  <c:v>0.48471489387723277</c:v>
                </c:pt>
                <c:pt idx="26">
                  <c:v>0.78085282161532987</c:v>
                </c:pt>
                <c:pt idx="27">
                  <c:v>1.195611429681958</c:v>
                </c:pt>
                <c:pt idx="28">
                  <c:v>1.7490747198590482</c:v>
                </c:pt>
                <c:pt idx="29">
                  <c:v>2.4559218147833697</c:v>
                </c:pt>
                <c:pt idx="30">
                  <c:v>3.3233104459574072</c:v>
                </c:pt>
                <c:pt idx="31">
                  <c:v>4.3495597961582853</c:v>
                </c:pt>
                <c:pt idx="32">
                  <c:v>5.5238108031208242</c:v>
                </c:pt>
                <c:pt idx="33">
                  <c:v>6.8266683108156556</c:v>
                </c:pt>
                <c:pt idx="34">
                  <c:v>8.2316770716020429</c:v>
                </c:pt>
                <c:pt idx="35">
                  <c:v>9.7073791748101002</c:v>
                </c:pt>
                <c:pt idx="36">
                  <c:v>11.219654357491834</c:v>
                </c:pt>
                <c:pt idx="37">
                  <c:v>12.734052846045387</c:v>
                </c:pt>
                <c:pt idx="38">
                  <c:v>14.217922091901215</c:v>
                </c:pt>
                <c:pt idx="39">
                  <c:v>15.642183162869529</c:v>
                </c:pt>
                <c:pt idx="40">
                  <c:v>16.982357108429234</c:v>
                </c:pt>
                <c:pt idx="41">
                  <c:v>18.219429904218217</c:v>
                </c:pt>
                <c:pt idx="42">
                  <c:v>19.339984776356118</c:v>
                </c:pt>
                <c:pt idx="43">
                  <c:v>20.335941578568452</c:v>
                </c:pt>
                <c:pt idx="44">
                  <c:v>21.204219424487448</c:v>
                </c:pt>
                <c:pt idx="45">
                  <c:v>21.945931584343285</c:v>
                </c:pt>
                <c:pt idx="46">
                  <c:v>22.565614256696691</c:v>
                </c:pt>
                <c:pt idx="47">
                  <c:v>23.070433302027212</c:v>
                </c:pt>
                <c:pt idx="48">
                  <c:v>23.469308229156326</c:v>
                </c:pt>
                <c:pt idx="49">
                  <c:v>23.772298132516525</c:v>
                </c:pt>
                <c:pt idx="50">
                  <c:v>23.990005457553025</c:v>
                </c:pt>
                <c:pt idx="51">
                  <c:v>24.132975131840617</c:v>
                </c:pt>
                <c:pt idx="52">
                  <c:v>24.211382955072551</c:v>
                </c:pt>
                <c:pt idx="53">
                  <c:v>24.23477268511008</c:v>
                </c:pt>
                <c:pt idx="54">
                  <c:v>24.211875554935673</c:v>
                </c:pt>
                <c:pt idx="55">
                  <c:v>24.150511951501777</c:v>
                </c:pt>
                <c:pt idx="56">
                  <c:v>24.057557748012947</c:v>
                </c:pt>
                <c:pt idx="57">
                  <c:v>23.938959109948442</c:v>
                </c:pt>
                <c:pt idx="58">
                  <c:v>23.799781540305013</c:v>
                </c:pt>
                <c:pt idx="59">
                  <c:v>23.644281176328448</c:v>
                </c:pt>
                <c:pt idx="60">
                  <c:v>23.475988654041842</c:v>
                </c:pt>
                <c:pt idx="61">
                  <c:v>23.29779804517203</c:v>
                </c:pt>
                <c:pt idx="62">
                  <c:v>23.112055334296059</c:v>
                </c:pt>
                <c:pt idx="63">
                  <c:v>22.920642584812221</c:v>
                </c:pt>
                <c:pt idx="64">
                  <c:v>22.725055322551391</c:v>
                </c:pt>
                <c:pt idx="65">
                  <c:v>22.526471754690334</c:v>
                </c:pt>
                <c:pt idx="66">
                  <c:v>22.325813265546714</c:v>
                </c:pt>
                <c:pt idx="67">
                  <c:v>22.123796225510958</c:v>
                </c:pt>
                <c:pt idx="68">
                  <c:v>21.920975553845487</c:v>
                </c:pt>
                <c:pt idx="69">
                  <c:v>21.717780728728403</c:v>
                </c:pt>
                <c:pt idx="70">
                  <c:v>21.51454507391129</c:v>
                </c:pt>
                <c:pt idx="71">
                  <c:v>21.311529201328216</c:v>
                </c:pt>
                <c:pt idx="72">
                  <c:v>21.108939478499007</c:v>
                </c:pt>
                <c:pt idx="73">
                  <c:v>20.90694233917203</c:v>
                </c:pt>
                <c:pt idx="74">
                  <c:v>20.705675181288239</c:v>
                </c:pt>
                <c:pt idx="75">
                  <c:v>20.505254509945399</c:v>
                </c:pt>
                <c:pt idx="76">
                  <c:v>20.305781893138569</c:v>
                </c:pt>
                <c:pt idx="77">
                  <c:v>20.107348210485409</c:v>
                </c:pt>
                <c:pt idx="78">
                  <c:v>19.910036593616319</c:v>
                </c:pt>
                <c:pt idx="79">
                  <c:v>19.713924383524194</c:v>
                </c:pt>
                <c:pt idx="80">
                  <c:v>19.519084365874015</c:v>
                </c:pt>
                <c:pt idx="81">
                  <c:v>19.325585490197867</c:v>
                </c:pt>
                <c:pt idx="82">
                  <c:v>19.133493232648433</c:v>
                </c:pt>
                <c:pt idx="83">
                  <c:v>18.942869723831095</c:v>
                </c:pt>
                <c:pt idx="84">
                  <c:v>18.753773732287208</c:v>
                </c:pt>
                <c:pt idx="85">
                  <c:v>18.566260569504998</c:v>
                </c:pt>
                <c:pt idx="86">
                  <c:v>18.380381962951027</c:v>
                </c:pt>
                <c:pt idx="87">
                  <c:v>18.196185928655645</c:v>
                </c:pt>
                <c:pt idx="88">
                  <c:v>18.013716663557332</c:v>
                </c:pt>
                <c:pt idx="89">
                  <c:v>17.833014469406237</c:v>
                </c:pt>
                <c:pt idx="90">
                  <c:v>17.654115713945309</c:v>
                </c:pt>
                <c:pt idx="91">
                  <c:v>17.477052830823084</c:v>
                </c:pt>
                <c:pt idx="92">
                  <c:v>17.301854356818279</c:v>
                </c:pt>
                <c:pt idx="93">
                  <c:v>17.128545003140129</c:v>
                </c:pt>
                <c:pt idx="94">
                  <c:v>16.957145756526685</c:v>
                </c:pt>
                <c:pt idx="95">
                  <c:v>16.787674005385835</c:v>
                </c:pt>
                <c:pt idx="96">
                  <c:v>16.620143686138658</c:v>
                </c:pt>
                <c:pt idx="97">
                  <c:v>16.45456544510327</c:v>
                </c:pt>
                <c:pt idx="98">
                  <c:v>16.290946811604364</c:v>
                </c:pt>
                <c:pt idx="99">
                  <c:v>16.129292378434258</c:v>
                </c:pt>
                <c:pt idx="100">
                  <c:v>15.969603986276875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3E-40D8-96E4-18D36FF11B74}"/>
            </c:ext>
          </c:extLst>
        </c:ser>
        <c:ser>
          <c:idx val="1"/>
          <c:order val="1"/>
          <c:tx>
            <c:strRef>
              <c:f>PUT!$W$5</c:f>
              <c:strCache>
                <c:ptCount val="1"/>
                <c:pt idx="0">
                  <c:v>Vanilla Put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PUT!$U$6:$U$106</c:f>
              <c:numCache>
                <c:formatCode>General</c:formatCode>
                <c:ptCount val="101"/>
                <c:pt idx="0">
                  <c:v>1E-4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PUT!$W$6:$W$106</c:f>
              <c:numCache>
                <c:formatCode>General</c:formatCode>
                <c:ptCount val="101"/>
                <c:pt idx="0">
                  <c:v>95.122842450071403</c:v>
                </c:pt>
                <c:pt idx="1">
                  <c:v>93.122942450071406</c:v>
                </c:pt>
                <c:pt idx="2">
                  <c:v>91.122942450071406</c:v>
                </c:pt>
                <c:pt idx="3">
                  <c:v>89.122942450071406</c:v>
                </c:pt>
                <c:pt idx="4">
                  <c:v>87.122942450071406</c:v>
                </c:pt>
                <c:pt idx="5">
                  <c:v>85.122942450071406</c:v>
                </c:pt>
                <c:pt idx="6">
                  <c:v>83.122942450071406</c:v>
                </c:pt>
                <c:pt idx="7">
                  <c:v>81.122942450071406</c:v>
                </c:pt>
                <c:pt idx="8">
                  <c:v>79.122942450071406</c:v>
                </c:pt>
                <c:pt idx="9">
                  <c:v>77.122942450071406</c:v>
                </c:pt>
                <c:pt idx="10">
                  <c:v>75.122942450071406</c:v>
                </c:pt>
                <c:pt idx="11">
                  <c:v>73.122942450071548</c:v>
                </c:pt>
                <c:pt idx="12">
                  <c:v>71.122942450075172</c:v>
                </c:pt>
                <c:pt idx="13">
                  <c:v>69.122942450135113</c:v>
                </c:pt>
                <c:pt idx="14">
                  <c:v>67.122942450835041</c:v>
                </c:pt>
                <c:pt idx="15">
                  <c:v>65.122942456923283</c:v>
                </c:pt>
                <c:pt idx="16">
                  <c:v>63.122942498225541</c:v>
                </c:pt>
                <c:pt idx="17">
                  <c:v>61.122942724879685</c:v>
                </c:pt>
                <c:pt idx="18">
                  <c:v>59.122943761319355</c:v>
                </c:pt>
                <c:pt idx="19">
                  <c:v>57.122947807920191</c:v>
                </c:pt>
                <c:pt idx="20">
                  <c:v>55.122961572851374</c:v>
                </c:pt>
                <c:pt idx="21">
                  <c:v>53.123003062260715</c:v>
                </c:pt>
                <c:pt idx="22">
                  <c:v>51.123115465039149</c:v>
                </c:pt>
                <c:pt idx="23">
                  <c:v>49.123392518508453</c:v>
                </c:pt>
                <c:pt idx="24">
                  <c:v>47.124020301956918</c:v>
                </c:pt>
                <c:pt idx="25">
                  <c:v>45.125339788742473</c:v>
                </c:pt>
                <c:pt idx="26">
                  <c:v>43.127932299097296</c:v>
                </c:pt>
                <c:pt idx="27">
                  <c:v>41.132726261547404</c:v>
                </c:pt>
                <c:pt idx="28">
                  <c:v>39.141118957040142</c:v>
                </c:pt>
                <c:pt idx="29">
                  <c:v>37.155102155589404</c:v>
                </c:pt>
                <c:pt idx="30">
                  <c:v>35.177376892182629</c:v>
                </c:pt>
                <c:pt idx="31">
                  <c:v>33.211441034787335</c:v>
                </c:pt>
                <c:pt idx="32">
                  <c:v>31.261634303368297</c:v>
                </c:pt>
                <c:pt idx="33">
                  <c:v>29.333128965115762</c:v>
                </c:pt>
                <c:pt idx="34">
                  <c:v>27.431859980829216</c:v>
                </c:pt>
                <c:pt idx="35">
                  <c:v>25.564394965934198</c:v>
                </c:pt>
                <c:pt idx="36">
                  <c:v>23.737750881733973</c:v>
                </c:pt>
                <c:pt idx="37">
                  <c:v>21.959169914783757</c:v>
                </c:pt>
                <c:pt idx="38">
                  <c:v>20.23587083451612</c:v>
                </c:pt>
                <c:pt idx="39">
                  <c:v>18.574793898149181</c:v>
                </c:pt>
                <c:pt idx="40">
                  <c:v>16.982357108429234</c:v>
                </c:pt>
                <c:pt idx="41">
                  <c:v>15.464239621189492</c:v>
                </c:pt>
                <c:pt idx="42">
                  <c:v>14.025204826438625</c:v>
                </c:pt>
                <c:pt idx="43">
                  <c:v>12.668971642474865</c:v>
                </c:pt>
                <c:pt idx="44">
                  <c:v>11.398138399975856</c:v>
                </c:pt>
                <c:pt idx="45">
                  <c:v>10.214159796600256</c:v>
                </c:pt>
                <c:pt idx="46">
                  <c:v>9.1173740923861288</c:v>
                </c:pt>
                <c:pt idx="47">
                  <c:v>8.1070651744716429</c:v>
                </c:pt>
                <c:pt idx="48">
                  <c:v>7.1814796802911189</c:v>
                </c:pt>
                <c:pt idx="49">
                  <c:v>6.3380457731726025</c:v>
                </c:pt>
                <c:pt idx="50">
                  <c:v>5.5735181169306571</c:v>
                </c:pt>
                <c:pt idx="51">
                  <c:v>4.8840089414343169</c:v>
                </c:pt>
                <c:pt idx="52">
                  <c:v>4.2651928807868167</c:v>
                </c:pt>
                <c:pt idx="53">
                  <c:v>3.7124475553858112</c:v>
                </c:pt>
                <c:pt idx="54">
                  <c:v>3.2209722500987468</c:v>
                </c:pt>
                <c:pt idx="55">
                  <c:v>2.7858967581576799</c:v>
                </c:pt>
                <c:pt idx="56">
                  <c:v>2.402377012805534</c:v>
                </c:pt>
                <c:pt idx="57">
                  <c:v>2.0656757871608455</c:v>
                </c:pt>
                <c:pt idx="58">
                  <c:v>1.7712279948731933</c:v>
                </c:pt>
                <c:pt idx="59">
                  <c:v>1.5146910329615295</c:v>
                </c:pt>
                <c:pt idx="60">
                  <c:v>1.2919812317463553</c:v>
                </c:pt>
                <c:pt idx="61">
                  <c:v>1.0992978683785761</c:v>
                </c:pt>
                <c:pt idx="62">
                  <c:v>0.93313640860719005</c:v>
                </c:pt>
                <c:pt idx="63">
                  <c:v>0.79029270923805583</c:v>
                </c:pt>
                <c:pt idx="64">
                  <c:v>0.66785987864689655</c:v>
                </c:pt>
                <c:pt idx="65">
                  <c:v>0.56321938632534874</c:v>
                </c:pt>
                <c:pt idx="66">
                  <c:v>0.47402786068229918</c:v>
                </c:pt>
                <c:pt idx="67">
                  <c:v>0.39820083777106241</c:v>
                </c:pt>
                <c:pt idx="68">
                  <c:v>0.33389453802298252</c:v>
                </c:pt>
                <c:pt idx="69">
                  <c:v>0.27948656497872904</c:v>
                </c:pt>
                <c:pt idx="70">
                  <c:v>0.23355624740876157</c:v>
                </c:pt>
                <c:pt idx="71">
                  <c:v>0.19486518918863371</c:v>
                </c:pt>
                <c:pt idx="72">
                  <c:v>0.16233845263729085</c:v>
                </c:pt>
                <c:pt idx="73">
                  <c:v>0.13504668179993007</c:v>
                </c:pt>
                <c:pt idx="74">
                  <c:v>0.11218937215504132</c:v>
                </c:pt>
                <c:pt idx="75">
                  <c:v>9.3079411388513833E-2</c:v>
                </c:pt>
                <c:pt idx="76">
                  <c:v>7.7128950590774403E-2</c:v>
                </c:pt>
                <c:pt idx="77">
                  <c:v>6.3836614597024721E-2</c:v>
                </c:pt>
                <c:pt idx="78">
                  <c:v>5.2776022190355265E-2</c:v>
                </c:pt>
                <c:pt idx="79">
                  <c:v>4.3585559533649398E-2</c:v>
                </c:pt>
                <c:pt idx="80">
                  <c:v>3.5959331616010726E-2</c:v>
                </c:pt>
                <c:pt idx="81">
                  <c:v>2.9639204983714751E-2</c:v>
                </c:pt>
                <c:pt idx="82">
                  <c:v>2.4407849068433352E-2</c:v>
                </c:pt>
                <c:pt idx="83">
                  <c:v>2.0082681724344464E-2</c:v>
                </c:pt>
                <c:pt idx="84">
                  <c:v>1.6510626044419052E-2</c:v>
                </c:pt>
                <c:pt idx="85">
                  <c:v>1.3563589236766621E-2</c:v>
                </c:pt>
                <c:pt idx="86">
                  <c:v>1.1134579574450854E-2</c:v>
                </c:pt>
                <c:pt idx="87">
                  <c:v>9.1343836017200863E-3</c:v>
                </c:pt>
                <c:pt idx="88">
                  <c:v>7.4887324405523148E-3</c:v>
                </c:pt>
                <c:pt idx="89">
                  <c:v>6.1358928513770977E-3</c:v>
                </c:pt>
                <c:pt idx="90">
                  <c:v>5.0246254147990332E-3</c:v>
                </c:pt>
                <c:pt idx="91">
                  <c:v>4.1124586424508697E-3</c:v>
                </c:pt>
                <c:pt idx="92">
                  <c:v>3.3642338777954556E-3</c:v>
                </c:pt>
                <c:pt idx="93">
                  <c:v>2.7508814449626121E-3</c:v>
                </c:pt>
                <c:pt idx="94">
                  <c:v>2.2483936069529961E-3</c:v>
                </c:pt>
                <c:pt idx="95">
                  <c:v>1.836964497549623E-3</c:v>
                </c:pt>
                <c:pt idx="96">
                  <c:v>1.5002713012084133E-3</c:v>
                </c:pt>
                <c:pt idx="97">
                  <c:v>1.2248745953218482E-3</c:v>
                </c:pt>
                <c:pt idx="98">
                  <c:v>9.9971896912219235E-4</c:v>
                </c:pt>
                <c:pt idx="99">
                  <c:v>8.1571782837427942E-4</c:v>
                </c:pt>
                <c:pt idx="100">
                  <c:v>6.6540872230267875E-4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3E-40D8-96E4-18D36FF11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750408"/>
        <c:axId val="957744504"/>
      </c:scatterChart>
      <c:valAx>
        <c:axId val="95775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744504"/>
        <c:crosses val="autoZero"/>
        <c:crossBetween val="midCat"/>
      </c:valAx>
      <c:valAx>
        <c:axId val="95774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750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33337</xdr:rowOff>
    </xdr:from>
    <xdr:to>
      <xdr:col>5</xdr:col>
      <xdr:colOff>438150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047757-0E76-4B81-BC01-77DCE3017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333375</xdr:colOff>
      <xdr:row>18</xdr:row>
      <xdr:rowOff>42862</xdr:rowOff>
    </xdr:from>
    <xdr:to>
      <xdr:col>11</xdr:col>
      <xdr:colOff>152400</xdr:colOff>
      <xdr:row>32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0AE990-F22E-4A2C-BFFA-D3D62039B3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78</xdr:row>
      <xdr:rowOff>109537</xdr:rowOff>
    </xdr:from>
    <xdr:to>
      <xdr:col>7</xdr:col>
      <xdr:colOff>304800</xdr:colOff>
      <xdr:row>92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8C01F0-B2EA-4A0E-860B-F75283120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590550</xdr:colOff>
      <xdr:row>78</xdr:row>
      <xdr:rowOff>128587</xdr:rowOff>
    </xdr:from>
    <xdr:to>
      <xdr:col>15</xdr:col>
      <xdr:colOff>285750</xdr:colOff>
      <xdr:row>93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F5498B-A833-40C2-94B4-88F7E4AE3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</xdr:colOff>
      <xdr:row>95</xdr:row>
      <xdr:rowOff>109537</xdr:rowOff>
    </xdr:from>
    <xdr:to>
      <xdr:col>19</xdr:col>
      <xdr:colOff>314325</xdr:colOff>
      <xdr:row>109</xdr:row>
      <xdr:rowOff>185737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D46762-D2AA-48C1-AC06-618BD64C5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447675</xdr:colOff>
      <xdr:row>79</xdr:row>
      <xdr:rowOff>90487</xdr:rowOff>
    </xdr:from>
    <xdr:to>
      <xdr:col>26</xdr:col>
      <xdr:colOff>142875</xdr:colOff>
      <xdr:row>93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C4109E-320E-4B2A-8020-6DE082186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QF/Wilmott%20on%20QF%20spreadsheets%20and%20VBA/23.%20Barrier%20Op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Up and Out Call"/>
      <sheetName val="Up and In Call"/>
      <sheetName val="Down and Out Call 1"/>
      <sheetName val="Down and Out Call 2"/>
      <sheetName val="Down and In Call 1"/>
      <sheetName val="Down and In Call 2"/>
      <sheetName val="Down and Out Put"/>
      <sheetName val="Down and In Put"/>
      <sheetName val="Up and Out Put 1"/>
      <sheetName val="Up and Out Put 2"/>
      <sheetName val="Up and In Put 1"/>
      <sheetName val="Up and In Put 2"/>
    </sheetNames>
    <sheetDataSet>
      <sheetData sheetId="0" refreshError="1"/>
      <sheetData sheetId="1" refreshError="1"/>
      <sheetData sheetId="2" refreshError="1"/>
      <sheetData sheetId="3">
        <row r="10">
          <cell r="B10" t="str">
            <v>Down and Out Call</v>
          </cell>
          <cell r="C10" t="str">
            <v>Vanilla Call</v>
          </cell>
        </row>
        <row r="11">
          <cell r="A11">
            <v>1E-4</v>
          </cell>
          <cell r="B11">
            <v>-4.5794604114758448E+16</v>
          </cell>
          <cell r="C11">
            <v>0</v>
          </cell>
        </row>
        <row r="12">
          <cell r="A12">
            <v>2</v>
          </cell>
          <cell r="B12">
            <v>-785478.66853275639</v>
          </cell>
          <cell r="C12">
            <v>0</v>
          </cell>
        </row>
        <row r="13">
          <cell r="A13">
            <v>4</v>
          </cell>
          <cell r="B13">
            <v>-134600.29593845995</v>
          </cell>
          <cell r="C13">
            <v>0</v>
          </cell>
        </row>
        <row r="14">
          <cell r="A14">
            <v>6</v>
          </cell>
          <cell r="B14">
            <v>-47301.014520533943</v>
          </cell>
          <cell r="C14">
            <v>0</v>
          </cell>
        </row>
        <row r="15">
          <cell r="A15">
            <v>8</v>
          </cell>
          <cell r="B15">
            <v>-22290.169722553583</v>
          </cell>
          <cell r="C15">
            <v>0</v>
          </cell>
        </row>
        <row r="16">
          <cell r="A16">
            <v>10</v>
          </cell>
          <cell r="B16">
            <v>-12329.160393808861</v>
          </cell>
          <cell r="C16">
            <v>0</v>
          </cell>
        </row>
        <row r="17">
          <cell r="A17">
            <v>12</v>
          </cell>
          <cell r="B17">
            <v>-7543.0290934485101</v>
          </cell>
          <cell r="C17">
            <v>0</v>
          </cell>
        </row>
        <row r="18">
          <cell r="A18">
            <v>14</v>
          </cell>
          <cell r="B18">
            <v>-4945.1035335955867</v>
          </cell>
          <cell r="C18">
            <v>0</v>
          </cell>
        </row>
        <row r="19">
          <cell r="A19">
            <v>16</v>
          </cell>
          <cell r="B19">
            <v>-3408.6291273087963</v>
          </cell>
          <cell r="C19">
            <v>0</v>
          </cell>
        </row>
        <row r="20">
          <cell r="A20">
            <v>18</v>
          </cell>
          <cell r="B20">
            <v>-2440.1784723054966</v>
          </cell>
          <cell r="C20">
            <v>1.9984014443252818E-15</v>
          </cell>
        </row>
        <row r="21">
          <cell r="A21">
            <v>20</v>
          </cell>
          <cell r="B21">
            <v>-1799.0164604277034</v>
          </cell>
          <cell r="C21">
            <v>2.5981159611578471E-15</v>
          </cell>
        </row>
        <row r="22">
          <cell r="A22">
            <v>22</v>
          </cell>
          <cell r="B22">
            <v>-1357.6346771520853</v>
          </cell>
          <cell r="C22">
            <v>1.4587924689471163E-13</v>
          </cell>
        </row>
        <row r="23">
          <cell r="A23">
            <v>24</v>
          </cell>
          <cell r="B23">
            <v>-1043.9818638956478</v>
          </cell>
          <cell r="C23">
            <v>3.7566845164629273E-12</v>
          </cell>
        </row>
        <row r="24">
          <cell r="A24">
            <v>26</v>
          </cell>
          <cell r="B24">
            <v>-815.15612567048368</v>
          </cell>
          <cell r="C24">
            <v>6.3705474180445771E-11</v>
          </cell>
        </row>
        <row r="25">
          <cell r="A25">
            <v>28</v>
          </cell>
          <cell r="B25">
            <v>-644.48334854137102</v>
          </cell>
          <cell r="C25">
            <v>7.6362654410510265E-10</v>
          </cell>
        </row>
        <row r="26">
          <cell r="A26">
            <v>30</v>
          </cell>
          <cell r="B26">
            <v>-514.76543488822153</v>
          </cell>
          <cell r="C26">
            <v>6.8518700116579451E-9</v>
          </cell>
        </row>
        <row r="27">
          <cell r="A27">
            <v>32</v>
          </cell>
          <cell r="B27">
            <v>-414.56560040368328</v>
          </cell>
          <cell r="C27">
            <v>4.8154129975752905E-8</v>
          </cell>
        </row>
        <row r="28">
          <cell r="A28">
            <v>34</v>
          </cell>
          <cell r="B28">
            <v>-336.07340072904611</v>
          </cell>
          <cell r="C28">
            <v>2.7480828092229592E-7</v>
          </cell>
        </row>
        <row r="29">
          <cell r="A29">
            <v>36</v>
          </cell>
          <cell r="B29">
            <v>-273.83089981849702</v>
          </cell>
          <cell r="C29">
            <v>1.3112479566884406E-6</v>
          </cell>
        </row>
        <row r="30">
          <cell r="A30">
            <v>38</v>
          </cell>
          <cell r="B30">
            <v>-223.9474944692189</v>
          </cell>
          <cell r="C30">
            <v>5.3578487761672938E-6</v>
          </cell>
        </row>
        <row r="31">
          <cell r="A31">
            <v>40</v>
          </cell>
          <cell r="B31">
            <v>-183.60171857408818</v>
          </cell>
          <cell r="C31">
            <v>1.9122779968273559E-5</v>
          </cell>
        </row>
        <row r="32">
          <cell r="A32">
            <v>42</v>
          </cell>
          <cell r="B32">
            <v>-150.71660901786669</v>
          </cell>
          <cell r="C32">
            <v>6.0612189301401413E-5</v>
          </cell>
        </row>
        <row r="33">
          <cell r="A33">
            <v>44</v>
          </cell>
          <cell r="B33">
            <v>-123.74276790447345</v>
          </cell>
          <cell r="C33">
            <v>1.7301496774147331E-4</v>
          </cell>
        </row>
        <row r="34">
          <cell r="A34">
            <v>46</v>
          </cell>
          <cell r="B34">
            <v>-101.50987789726582</v>
          </cell>
          <cell r="C34">
            <v>4.5006843705147452E-4</v>
          </cell>
        </row>
        <row r="35">
          <cell r="A35">
            <v>48</v>
          </cell>
          <cell r="B35">
            <v>-83.122829383926444</v>
          </cell>
          <cell r="C35">
            <v>1.0778518855039318E-3</v>
          </cell>
        </row>
        <row r="36">
          <cell r="A36">
            <v>50</v>
          </cell>
          <cell r="B36">
            <v>-67.887742179138343</v>
          </cell>
          <cell r="C36">
            <v>2.3973386710705175E-3</v>
          </cell>
        </row>
        <row r="37">
          <cell r="A37">
            <v>52</v>
          </cell>
          <cell r="B37">
            <v>-55.258633643987821</v>
          </cell>
          <cell r="C37">
            <v>4.9898490258926398E-3</v>
          </cell>
        </row>
        <row r="38">
          <cell r="A38">
            <v>54</v>
          </cell>
          <cell r="B38">
            <v>-44.798767799503509</v>
          </cell>
          <cell r="C38">
            <v>9.7838114759947747E-3</v>
          </cell>
        </row>
        <row r="39">
          <cell r="A39">
            <v>56</v>
          </cell>
          <cell r="B39">
            <v>-36.15268642888779</v>
          </cell>
          <cell r="C39">
            <v>1.81765069687293E-2</v>
          </cell>
        </row>
        <row r="40">
          <cell r="A40">
            <v>58</v>
          </cell>
          <cell r="B40">
            <v>-29.026110443089692</v>
          </cell>
          <cell r="C40">
            <v>3.2159705518000126E-2</v>
          </cell>
        </row>
        <row r="41">
          <cell r="A41">
            <v>60</v>
          </cell>
          <cell r="B41">
            <v>-23.171641649042172</v>
          </cell>
          <cell r="C41">
            <v>5.4434442111226833E-2</v>
          </cell>
        </row>
        <row r="42">
          <cell r="A42">
            <v>62</v>
          </cell>
          <cell r="B42">
            <v>-18.378692006132752</v>
          </cell>
          <cell r="C42">
            <v>8.8498584715928752E-2</v>
          </cell>
        </row>
        <row r="43">
          <cell r="A43">
            <v>64</v>
          </cell>
          <cell r="B43">
            <v>-14.466431643642153</v>
          </cell>
          <cell r="C43">
            <v>0.13869185329689238</v>
          </cell>
        </row>
        <row r="44">
          <cell r="A44">
            <v>66</v>
          </cell>
          <cell r="B44">
            <v>-11.278833604264562</v>
          </cell>
          <cell r="C44">
            <v>0.21018651504435981</v>
          </cell>
        </row>
        <row r="45">
          <cell r="A45">
            <v>68</v>
          </cell>
          <cell r="B45">
            <v>-8.6809356905679564</v>
          </cell>
          <cell r="C45">
            <v>0.3089175307578107</v>
          </cell>
        </row>
        <row r="46">
          <cell r="A46">
            <v>70</v>
          </cell>
          <cell r="B46">
            <v>-6.5562052285118497</v>
          </cell>
          <cell r="C46">
            <v>0.44145251586279777</v>
          </cell>
        </row>
        <row r="47">
          <cell r="A47">
            <v>72</v>
          </cell>
          <cell r="B47">
            <v>-4.8045203482941758</v>
          </cell>
          <cell r="C47">
            <v>0.61480843166256705</v>
          </cell>
        </row>
        <row r="48">
          <cell r="A48">
            <v>74</v>
          </cell>
          <cell r="B48">
            <v>-3.3401517448589821</v>
          </cell>
          <cell r="C48">
            <v>0.8362274647123531</v>
          </cell>
        </row>
        <row r="49">
          <cell r="A49">
            <v>76</v>
          </cell>
          <cell r="B49">
            <v>-2.0903635184666651</v>
          </cell>
          <cell r="C49">
            <v>1.1129283844447109</v>
          </cell>
        </row>
        <row r="50">
          <cell r="A50">
            <v>78</v>
          </cell>
          <cell r="B50">
            <v>-0.99396589136906321</v>
          </cell>
          <cell r="C50">
            <v>1.4518514480777718</v>
          </cell>
        </row>
        <row r="51">
          <cell r="A51">
            <v>80</v>
          </cell>
          <cell r="B51">
            <v>-1.6789838908150452E-15</v>
          </cell>
          <cell r="C51">
            <v>1.8594146583578315</v>
          </cell>
        </row>
        <row r="52">
          <cell r="A52">
            <v>82</v>
          </cell>
          <cell r="B52">
            <v>0.93346869725177761</v>
          </cell>
          <cell r="C52">
            <v>2.3412971711180823</v>
          </cell>
        </row>
        <row r="53">
          <cell r="A53">
            <v>84</v>
          </cell>
          <cell r="B53">
            <v>1.840464129798665</v>
          </cell>
          <cell r="C53">
            <v>2.9022623763672222</v>
          </cell>
        </row>
        <row r="54">
          <cell r="A54">
            <v>86</v>
          </cell>
          <cell r="B54">
            <v>2.7481260503046876</v>
          </cell>
          <cell r="C54">
            <v>3.5460291924034557</v>
          </cell>
        </row>
        <row r="55">
          <cell r="A55">
            <v>88</v>
          </cell>
          <cell r="B55">
            <v>3.6776517025450204</v>
          </cell>
          <cell r="C55">
            <v>4.2751959499044574</v>
          </cell>
        </row>
        <row r="56">
          <cell r="A56">
            <v>90</v>
          </cell>
          <cell r="B56">
            <v>4.6451551353132174</v>
          </cell>
          <cell r="C56">
            <v>5.0912173465288504</v>
          </cell>
        </row>
        <row r="57">
          <cell r="A57">
            <v>92</v>
          </cell>
          <cell r="B57">
            <v>5.662447441191631</v>
          </cell>
          <cell r="C57">
            <v>5.9944316423147228</v>
          </cell>
        </row>
        <row r="58">
          <cell r="A58">
            <v>94</v>
          </cell>
          <cell r="B58">
            <v>6.7377320863030903</v>
          </cell>
          <cell r="C58">
            <v>6.9841227244002368</v>
          </cell>
        </row>
        <row r="59">
          <cell r="A59">
            <v>96</v>
          </cell>
          <cell r="B59">
            <v>7.8761473459342142</v>
          </cell>
          <cell r="C59">
            <v>8.0585372302197129</v>
          </cell>
        </row>
        <row r="60">
          <cell r="A60">
            <v>98</v>
          </cell>
          <cell r="B60">
            <v>9.0804154096966556</v>
          </cell>
          <cell r="C60">
            <v>9.2151033231011965</v>
          </cell>
        </row>
        <row r="61">
          <cell r="A61">
            <v>100</v>
          </cell>
          <cell r="B61">
            <v>10.351335855052135</v>
          </cell>
          <cell r="C61">
            <v>10.450575666859251</v>
          </cell>
        </row>
        <row r="62">
          <cell r="A62">
            <v>102</v>
          </cell>
          <cell r="B62">
            <v>11.688096001073148</v>
          </cell>
          <cell r="C62">
            <v>11.761066491362918</v>
          </cell>
        </row>
        <row r="63">
          <cell r="A63">
            <v>104</v>
          </cell>
          <cell r="B63">
            <v>13.08869744036101</v>
          </cell>
          <cell r="C63">
            <v>13.142250430715407</v>
          </cell>
        </row>
        <row r="64">
          <cell r="A64">
            <v>106</v>
          </cell>
          <cell r="B64">
            <v>14.550271069811679</v>
          </cell>
          <cell r="C64">
            <v>14.589505105314409</v>
          </cell>
        </row>
        <row r="65">
          <cell r="A65">
            <v>108</v>
          </cell>
          <cell r="B65">
            <v>16.069331952799374</v>
          </cell>
          <cell r="C65">
            <v>16.098029800027348</v>
          </cell>
        </row>
        <row r="66">
          <cell r="A66">
            <v>110</v>
          </cell>
          <cell r="B66">
            <v>17.641993705861083</v>
          </cell>
          <cell r="C66">
            <v>17.66295430808627</v>
          </cell>
        </row>
        <row r="67">
          <cell r="A67">
            <v>112</v>
          </cell>
          <cell r="B67">
            <v>19.264145384865301</v>
          </cell>
          <cell r="C67">
            <v>19.279434562734124</v>
          </cell>
        </row>
        <row r="68">
          <cell r="A68">
            <v>114</v>
          </cell>
          <cell r="B68">
            <v>20.931594361997682</v>
          </cell>
          <cell r="C68">
            <v>20.942733337089436</v>
          </cell>
        </row>
        <row r="69">
          <cell r="A69">
            <v>116</v>
          </cell>
          <cell r="B69">
            <v>22.64017894187684</v>
          </cell>
          <cell r="C69">
            <v>22.64828554480178</v>
          </cell>
        </row>
        <row r="70">
          <cell r="A70">
            <v>118</v>
          </cell>
          <cell r="B70">
            <v>24.38585452808104</v>
          </cell>
          <cell r="C70">
            <v>24.391748582890116</v>
          </cell>
        </row>
        <row r="71">
          <cell r="A71">
            <v>120</v>
          </cell>
          <cell r="B71">
            <v>26.164757070348699</v>
          </cell>
          <cell r="C71">
            <v>26.169038781674956</v>
          </cell>
        </row>
        <row r="72">
          <cell r="A72">
            <v>122</v>
          </cell>
          <cell r="B72">
            <v>27.973247337348454</v>
          </cell>
          <cell r="C72">
            <v>27.976355418307165</v>
          </cell>
        </row>
        <row r="73">
          <cell r="A73">
            <v>124</v>
          </cell>
          <cell r="B73">
            <v>29.807939302339037</v>
          </cell>
          <cell r="C73">
            <v>29.810193958535777</v>
          </cell>
        </row>
        <row r="74">
          <cell r="A74">
            <v>126</v>
          </cell>
          <cell r="B74">
            <v>31.665715625575757</v>
          </cell>
          <cell r="C74">
            <v>31.667350259166653</v>
          </cell>
        </row>
        <row r="75">
          <cell r="A75">
            <v>128</v>
          </cell>
          <cell r="B75">
            <v>33.543732889431212</v>
          </cell>
          <cell r="C75">
            <v>33.544917428575488</v>
          </cell>
        </row>
        <row r="76">
          <cell r="A76">
            <v>130</v>
          </cell>
          <cell r="B76">
            <v>35.439418907086051</v>
          </cell>
          <cell r="C76">
            <v>35.440276936253937</v>
          </cell>
        </row>
        <row r="77">
          <cell r="A77">
            <v>132</v>
          </cell>
          <cell r="B77">
            <v>37.35046409670403</v>
          </cell>
          <cell r="C77">
            <v>37.351085410610892</v>
          </cell>
        </row>
        <row r="78">
          <cell r="A78">
            <v>134</v>
          </cell>
          <cell r="B78">
            <v>39.274808600218336</v>
          </cell>
          <cell r="C78">
            <v>39.275258387699665</v>
          </cell>
        </row>
        <row r="79">
          <cell r="A79">
            <v>136</v>
          </cell>
          <cell r="B79">
            <v>41.210626536209503</v>
          </cell>
          <cell r="C79">
            <v>41.210952087951569</v>
          </cell>
        </row>
        <row r="80">
          <cell r="A80">
            <v>138</v>
          </cell>
          <cell r="B80">
            <v>43.156308514259024</v>
          </cell>
          <cell r="C80">
            <v>43.156544114907334</v>
          </cell>
        </row>
        <row r="81">
          <cell r="A81">
            <v>140</v>
          </cell>
          <cell r="B81">
            <v>45.110443305897974</v>
          </cell>
          <cell r="C81">
            <v>45.110613797337336</v>
          </cell>
        </row>
        <row r="82">
          <cell r="A82">
            <v>142</v>
          </cell>
          <cell r="B82">
            <v>47.071799365398888</v>
          </cell>
          <cell r="C82">
            <v>47.071922739117227</v>
          </cell>
        </row>
        <row r="83">
          <cell r="A83">
            <v>144</v>
          </cell>
          <cell r="B83">
            <v>49.039306721444405</v>
          </cell>
          <cell r="C83">
            <v>49.03939600256588</v>
          </cell>
        </row>
        <row r="84">
          <cell r="A84">
            <v>146</v>
          </cell>
          <cell r="B84">
            <v>51.012039616465998</v>
          </cell>
          <cell r="C84">
            <v>51.012104231728514</v>
          </cell>
        </row>
        <row r="85">
          <cell r="A85">
            <v>148</v>
          </cell>
          <cell r="B85">
            <v>52.989200151864353</v>
          </cell>
          <cell r="C85">
            <v>52.989246922083652</v>
          </cell>
        </row>
        <row r="86">
          <cell r="A86">
            <v>150</v>
          </cell>
          <cell r="B86">
            <v>54.970103101731027</v>
          </cell>
          <cell r="C86">
            <v>54.970136961317095</v>
          </cell>
        </row>
        <row r="87">
          <cell r="A87">
            <v>152</v>
          </cell>
          <cell r="B87">
            <v>56.954161982248948</v>
          </cell>
          <cell r="C87">
            <v>56.95418650051937</v>
          </cell>
        </row>
        <row r="88">
          <cell r="A88">
            <v>154</v>
          </cell>
          <cell r="B88">
            <v>58.940876405836633</v>
          </cell>
          <cell r="C88">
            <v>58.940894164525602</v>
          </cell>
        </row>
        <row r="89">
          <cell r="A89">
            <v>156</v>
          </cell>
          <cell r="B89">
            <v>60.929820705608194</v>
          </cell>
          <cell r="C89">
            <v>60.929833572118952</v>
          </cell>
        </row>
        <row r="90">
          <cell r="A90">
            <v>158</v>
          </cell>
          <cell r="B90">
            <v>62.920633784341362</v>
          </cell>
          <cell r="C90">
            <v>62.920643109462247</v>
          </cell>
        </row>
        <row r="91">
          <cell r="A91">
            <v>160</v>
          </cell>
          <cell r="B91">
            <v>64.913010120620896</v>
          </cell>
          <cell r="C91">
            <v>64.913016881544621</v>
          </cell>
        </row>
        <row r="92">
          <cell r="A92">
            <v>162</v>
          </cell>
          <cell r="B92">
            <v>66.906691851157845</v>
          </cell>
          <cell r="C92">
            <v>66.906696754912318</v>
          </cell>
        </row>
        <row r="93">
          <cell r="A93">
            <v>164</v>
          </cell>
          <cell r="B93">
            <v>68.901461840759367</v>
          </cell>
          <cell r="C93">
            <v>68.901465398997018</v>
          </cell>
        </row>
        <row r="94">
          <cell r="A94">
            <v>166</v>
          </cell>
          <cell r="B94">
            <v>70.897137648581449</v>
          </cell>
          <cell r="C94">
            <v>70.897140231652955</v>
          </cell>
        </row>
        <row r="95">
          <cell r="A95">
            <v>168</v>
          </cell>
          <cell r="B95">
            <v>72.893566299924331</v>
          </cell>
          <cell r="C95">
            <v>72.893568175973002</v>
          </cell>
        </row>
        <row r="96">
          <cell r="A96">
            <v>170</v>
          </cell>
          <cell r="B96">
            <v>74.890619775938077</v>
          </cell>
          <cell r="C96">
            <v>74.890621139165361</v>
          </cell>
        </row>
        <row r="97">
          <cell r="A97">
            <v>172</v>
          </cell>
          <cell r="B97">
            <v>76.888191138400515</v>
          </cell>
          <cell r="C97">
            <v>76.888192129503025</v>
          </cell>
        </row>
        <row r="98">
          <cell r="A98">
            <v>174</v>
          </cell>
          <cell r="B98">
            <v>78.886191212582048</v>
          </cell>
          <cell r="C98">
            <v>78.886191933530313</v>
          </cell>
        </row>
        <row r="99">
          <cell r="A99">
            <v>176</v>
          </cell>
          <cell r="B99">
            <v>80.884545757642272</v>
          </cell>
          <cell r="C99">
            <v>80.884546282369143</v>
          </cell>
        </row>
        <row r="100">
          <cell r="A100">
            <v>178</v>
          </cell>
          <cell r="B100">
            <v>82.883193060647329</v>
          </cell>
          <cell r="C100">
            <v>82.883193442779969</v>
          </cell>
        </row>
        <row r="101">
          <cell r="A101">
            <v>180</v>
          </cell>
          <cell r="B101">
            <v>84.882081896889048</v>
          </cell>
          <cell r="C101">
            <v>84.882082175343399</v>
          </cell>
        </row>
        <row r="102">
          <cell r="A102">
            <v>182</v>
          </cell>
          <cell r="B102">
            <v>86.881169805541177</v>
          </cell>
          <cell r="C102">
            <v>86.881170008571047</v>
          </cell>
        </row>
        <row r="103">
          <cell r="A103">
            <v>184</v>
          </cell>
          <cell r="B103">
            <v>88.880421635678005</v>
          </cell>
          <cell r="C103">
            <v>88.880421783806383</v>
          </cell>
        </row>
        <row r="104">
          <cell r="A104">
            <v>186</v>
          </cell>
          <cell r="B104">
            <v>90.879808323231345</v>
          </cell>
          <cell r="C104">
            <v>90.879808431373561</v>
          </cell>
        </row>
        <row r="105">
          <cell r="A105">
            <v>188</v>
          </cell>
          <cell r="B105">
            <v>92.879305864533833</v>
          </cell>
          <cell r="C105">
            <v>92.879305943535542</v>
          </cell>
        </row>
        <row r="106">
          <cell r="A106">
            <v>190</v>
          </cell>
          <cell r="B106">
            <v>94.878894456674104</v>
          </cell>
          <cell r="C106">
            <v>94.87889451442615</v>
          </cell>
        </row>
        <row r="107">
          <cell r="A107">
            <v>192</v>
          </cell>
          <cell r="B107">
            <v>96.878557778983165</v>
          </cell>
          <cell r="C107">
            <v>96.878557821229805</v>
          </cell>
        </row>
        <row r="108">
          <cell r="A108">
            <v>194</v>
          </cell>
          <cell r="B108">
            <v>98.87828239359844</v>
          </cell>
          <cell r="C108">
            <v>98.878282424523931</v>
          </cell>
        </row>
        <row r="109">
          <cell r="A109">
            <v>196</v>
          </cell>
          <cell r="B109">
            <v>100.87805724624377</v>
          </cell>
          <cell r="C109">
            <v>100.87805726889772</v>
          </cell>
        </row>
        <row r="110">
          <cell r="A110">
            <v>198</v>
          </cell>
          <cell r="B110">
            <v>102.87787325115046</v>
          </cell>
          <cell r="C110">
            <v>102.87787326775698</v>
          </cell>
        </row>
        <row r="111">
          <cell r="A111">
            <v>200</v>
          </cell>
          <cell r="B111">
            <v>104.87772294646877</v>
          </cell>
          <cell r="C111">
            <v>104.87772295865089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W106"/>
  <sheetViews>
    <sheetView tabSelected="1" workbookViewId="0">
      <selection activeCell="B2" sqref="B2"/>
    </sheetView>
  </sheetViews>
  <sheetFormatPr defaultRowHeight="15" x14ac:dyDescent="0.25"/>
  <cols>
    <col min="1" max="1" width="14.7109375" bestFit="1" customWidth="1"/>
    <col min="3" max="3" width="11.140625" customWidth="1"/>
    <col min="4" max="4" width="16.28515625" customWidth="1"/>
    <col min="5" max="5" width="11.7109375" customWidth="1"/>
    <col min="7" max="7" width="10.85546875" customWidth="1"/>
    <col min="9" max="9" width="13" customWidth="1"/>
    <col min="10" max="11" width="14.5703125" customWidth="1"/>
    <col min="15" max="15" width="10.42578125" bestFit="1" customWidth="1"/>
    <col min="16" max="16" width="18.28515625" bestFit="1" customWidth="1"/>
    <col min="17" max="17" width="11.5703125" bestFit="1" customWidth="1"/>
    <col min="21" max="21" width="10.42578125" bestFit="1" customWidth="1"/>
    <col min="22" max="22" width="16.7109375" bestFit="1" customWidth="1"/>
    <col min="23" max="23" width="11.5703125" bestFit="1" customWidth="1"/>
  </cols>
  <sheetData>
    <row r="4" spans="1:23" x14ac:dyDescent="0.25">
      <c r="A4" s="4" t="s">
        <v>0</v>
      </c>
      <c r="B4" s="4"/>
      <c r="C4" s="4"/>
      <c r="D4" s="4"/>
      <c r="E4" s="4"/>
      <c r="G4" s="4" t="s">
        <v>9</v>
      </c>
      <c r="H4" s="4"/>
      <c r="I4" s="4"/>
      <c r="J4" s="4"/>
      <c r="K4" s="4"/>
      <c r="M4" s="4" t="s">
        <v>10</v>
      </c>
      <c r="N4" s="4"/>
      <c r="O4" s="4"/>
      <c r="P4" s="4"/>
      <c r="Q4" s="4"/>
      <c r="S4" s="4" t="s">
        <v>11</v>
      </c>
      <c r="T4" s="4"/>
      <c r="U4" s="4"/>
      <c r="V4" s="4"/>
      <c r="W4" s="4"/>
    </row>
    <row r="5" spans="1:23" ht="39" x14ac:dyDescent="0.25">
      <c r="C5" s="3" t="s">
        <v>8</v>
      </c>
      <c r="D5" s="3" t="s">
        <v>0</v>
      </c>
      <c r="E5" s="3" t="s">
        <v>7</v>
      </c>
      <c r="I5" s="3" t="s">
        <v>8</v>
      </c>
      <c r="J5" s="3" t="s">
        <v>9</v>
      </c>
      <c r="K5" s="3" t="s">
        <v>7</v>
      </c>
      <c r="O5" s="3" t="s">
        <v>8</v>
      </c>
      <c r="P5" s="3" t="s">
        <v>10</v>
      </c>
      <c r="Q5" s="3" t="s">
        <v>7</v>
      </c>
      <c r="U5" s="3" t="s">
        <v>8</v>
      </c>
      <c r="V5" s="3" t="s">
        <v>11</v>
      </c>
      <c r="W5" s="3" t="s">
        <v>7</v>
      </c>
    </row>
    <row r="6" spans="1:23" x14ac:dyDescent="0.25">
      <c r="A6" s="1" t="s">
        <v>1</v>
      </c>
      <c r="B6" s="2">
        <v>0.25</v>
      </c>
      <c r="C6">
        <v>1E-4</v>
      </c>
      <c r="D6">
        <f>Up_And_Out_Call(C6,$B$11,$B$6,$B$7,$B$8,$B$9,$B$10)</f>
        <v>0</v>
      </c>
      <c r="E6">
        <f>Vanilla_Call(C6,$B$11,$B$6,$B$7,$B$8,$B$9)</f>
        <v>0</v>
      </c>
      <c r="G6" s="1" t="s">
        <v>1</v>
      </c>
      <c r="H6" s="2">
        <v>0.2</v>
      </c>
      <c r="I6">
        <v>1E-4</v>
      </c>
      <c r="J6">
        <f>Up_And_In_Call(I6,$H$11,$H$6,$H$7,$H$8,$H$9,$H$10)</f>
        <v>0</v>
      </c>
      <c r="K6">
        <f>Vanilla_Call(I6,$H$11,$H$6,$H$7,$H$8,$H$9)</f>
        <v>0</v>
      </c>
      <c r="M6" s="1" t="s">
        <v>1</v>
      </c>
      <c r="N6" s="2">
        <v>0.2</v>
      </c>
      <c r="O6">
        <v>1E-4</v>
      </c>
      <c r="P6">
        <f>Down_And_Out_Call(O6,$N$11,$N$6,$N$7,$N$8,$N$9,$N$10)</f>
        <v>-4.5794604114758448E+16</v>
      </c>
      <c r="Q6">
        <f>Vanilla_Call(O6,$N$11,$N$6,$N$7,$N$8,$N$9)</f>
        <v>0</v>
      </c>
      <c r="S6" s="1" t="s">
        <v>1</v>
      </c>
      <c r="T6" s="2">
        <v>0.2</v>
      </c>
      <c r="U6">
        <v>1E-4</v>
      </c>
      <c r="V6">
        <f>Down_And_In_Call(U6,$T$11,$T$6,$T$7,$T$8,$T$9,$T$10)</f>
        <v>4.5794604114758448E+16</v>
      </c>
      <c r="W6">
        <f>Vanilla_Call(U6,$T$11,$T$6,$T$7,$T$8,$T$9)</f>
        <v>0</v>
      </c>
    </row>
    <row r="7" spans="1:23" x14ac:dyDescent="0.25">
      <c r="A7" s="1" t="s">
        <v>2</v>
      </c>
      <c r="B7" s="2">
        <v>0.05</v>
      </c>
      <c r="C7">
        <f>B9/50</f>
        <v>2</v>
      </c>
      <c r="D7">
        <f t="shared" ref="D7:D70" si="0">Up_And_Out_Call(C7,$B$11,$B$6,$B$7,$B$8,$B$9,$B$10)</f>
        <v>0</v>
      </c>
      <c r="E7">
        <f t="shared" ref="E7:E70" si="1">Vanilla_Call(C7,$B$11,$B$6,$B$7,$B$8,$B$9)</f>
        <v>0</v>
      </c>
      <c r="G7" s="1" t="s">
        <v>2</v>
      </c>
      <c r="H7" s="2">
        <v>0.05</v>
      </c>
      <c r="I7">
        <f>H9/50</f>
        <v>2</v>
      </c>
      <c r="J7">
        <f t="shared" ref="J7:J70" si="2">Up_And_In_Call(I7,$H$11,$H$6,$H$7,$H$8,$H$9,$H$10)</f>
        <v>0</v>
      </c>
      <c r="K7">
        <f t="shared" ref="K7:K70" si="3">Vanilla_Call(I7,$H$11,$H$6,$H$7,$H$8,$H$9)</f>
        <v>0</v>
      </c>
      <c r="M7" s="1" t="s">
        <v>2</v>
      </c>
      <c r="N7" s="2">
        <v>0.05</v>
      </c>
      <c r="O7">
        <f>N9/50</f>
        <v>2</v>
      </c>
      <c r="P7">
        <f t="shared" ref="P7:P70" si="4">Down_And_Out_Call(O7,$N$11,$N$6,$N$7,$N$8,$N$9,$N$10)</f>
        <v>-785478.66853275639</v>
      </c>
      <c r="Q7">
        <f t="shared" ref="Q7:Q70" si="5">Vanilla_Call(O7,$N$11,$N$6,$N$7,$N$8,$N$9)</f>
        <v>0</v>
      </c>
      <c r="S7" s="1" t="s">
        <v>2</v>
      </c>
      <c r="T7" s="2">
        <v>0.05</v>
      </c>
      <c r="U7">
        <f>T9/50</f>
        <v>2</v>
      </c>
      <c r="V7">
        <f t="shared" ref="V7:V11" si="6">Down_And_In_Call(U7,$T$11,$T$6,$T$7,$T$8,$T$9,$T$10)</f>
        <v>785478.66853275639</v>
      </c>
      <c r="W7">
        <f t="shared" ref="W7:W70" si="7">Vanilla_Call(U7,$T$11,$T$6,$T$7,$T$8,$T$9)</f>
        <v>0</v>
      </c>
    </row>
    <row r="8" spans="1:23" x14ac:dyDescent="0.25">
      <c r="A8" s="1" t="s">
        <v>3</v>
      </c>
      <c r="B8" s="2">
        <v>0</v>
      </c>
      <c r="C8">
        <f>C7+$C$7</f>
        <v>4</v>
      </c>
      <c r="D8">
        <f t="shared" si="0"/>
        <v>0</v>
      </c>
      <c r="E8">
        <f t="shared" si="1"/>
        <v>0</v>
      </c>
      <c r="G8" s="1" t="s">
        <v>3</v>
      </c>
      <c r="H8" s="2">
        <v>0</v>
      </c>
      <c r="I8">
        <f>I7+$I$7</f>
        <v>4</v>
      </c>
      <c r="J8">
        <f t="shared" si="2"/>
        <v>0</v>
      </c>
      <c r="K8">
        <f t="shared" si="3"/>
        <v>0</v>
      </c>
      <c r="M8" s="1" t="s">
        <v>3</v>
      </c>
      <c r="N8" s="2">
        <v>0</v>
      </c>
      <c r="O8">
        <f>O7+$O$7</f>
        <v>4</v>
      </c>
      <c r="P8">
        <f t="shared" si="4"/>
        <v>-134600.29593845995</v>
      </c>
      <c r="Q8">
        <f t="shared" si="5"/>
        <v>0</v>
      </c>
      <c r="S8" s="1" t="s">
        <v>3</v>
      </c>
      <c r="T8" s="2">
        <v>0</v>
      </c>
      <c r="U8">
        <f>U7+$U$7</f>
        <v>4</v>
      </c>
      <c r="V8">
        <f t="shared" si="6"/>
        <v>134600.29593845995</v>
      </c>
      <c r="W8">
        <f t="shared" si="7"/>
        <v>0</v>
      </c>
    </row>
    <row r="9" spans="1:23" x14ac:dyDescent="0.25">
      <c r="A9" s="1" t="s">
        <v>4</v>
      </c>
      <c r="B9" s="2">
        <v>100</v>
      </c>
      <c r="C9">
        <f t="shared" ref="C9:C72" si="8">C8+$C$7</f>
        <v>6</v>
      </c>
      <c r="D9">
        <f t="shared" si="0"/>
        <v>0</v>
      </c>
      <c r="E9">
        <f t="shared" si="1"/>
        <v>0</v>
      </c>
      <c r="G9" s="1" t="s">
        <v>4</v>
      </c>
      <c r="H9" s="2">
        <v>100</v>
      </c>
      <c r="I9">
        <f t="shared" ref="I9:I72" si="9">I8+$I$7</f>
        <v>6</v>
      </c>
      <c r="J9">
        <f t="shared" si="2"/>
        <v>0</v>
      </c>
      <c r="K9">
        <f t="shared" si="3"/>
        <v>0</v>
      </c>
      <c r="M9" s="1" t="s">
        <v>4</v>
      </c>
      <c r="N9" s="2">
        <v>100</v>
      </c>
      <c r="O9">
        <f t="shared" ref="O9:O72" si="10">O8+$O$7</f>
        <v>6</v>
      </c>
      <c r="P9">
        <f t="shared" si="4"/>
        <v>-47301.014520533943</v>
      </c>
      <c r="Q9">
        <f t="shared" si="5"/>
        <v>0</v>
      </c>
      <c r="S9" s="1" t="s">
        <v>4</v>
      </c>
      <c r="T9" s="2">
        <v>100</v>
      </c>
      <c r="U9">
        <f t="shared" ref="U9:U72" si="11">U8+$O$7</f>
        <v>6</v>
      </c>
      <c r="V9">
        <f t="shared" si="6"/>
        <v>47301.014520533943</v>
      </c>
      <c r="W9">
        <f t="shared" si="7"/>
        <v>0</v>
      </c>
    </row>
    <row r="10" spans="1:23" x14ac:dyDescent="0.25">
      <c r="A10" s="1" t="s">
        <v>5</v>
      </c>
      <c r="B10" s="2">
        <v>175</v>
      </c>
      <c r="C10">
        <f t="shared" si="8"/>
        <v>8</v>
      </c>
      <c r="D10">
        <f t="shared" si="0"/>
        <v>0</v>
      </c>
      <c r="E10">
        <f t="shared" si="1"/>
        <v>0</v>
      </c>
      <c r="G10" s="1" t="s">
        <v>5</v>
      </c>
      <c r="H10" s="2">
        <v>120</v>
      </c>
      <c r="I10">
        <f t="shared" si="9"/>
        <v>8</v>
      </c>
      <c r="J10">
        <f t="shared" si="2"/>
        <v>0</v>
      </c>
      <c r="K10">
        <f t="shared" si="3"/>
        <v>0</v>
      </c>
      <c r="M10" s="1" t="s">
        <v>5</v>
      </c>
      <c r="N10" s="2">
        <v>80</v>
      </c>
      <c r="O10">
        <f t="shared" si="10"/>
        <v>8</v>
      </c>
      <c r="P10">
        <f t="shared" si="4"/>
        <v>-22290.169722553583</v>
      </c>
      <c r="Q10">
        <f t="shared" si="5"/>
        <v>0</v>
      </c>
      <c r="S10" s="1" t="s">
        <v>5</v>
      </c>
      <c r="T10" s="2">
        <v>80</v>
      </c>
      <c r="U10">
        <f t="shared" si="11"/>
        <v>8</v>
      </c>
      <c r="V10">
        <f t="shared" si="6"/>
        <v>22290.169722553583</v>
      </c>
      <c r="W10">
        <f t="shared" si="7"/>
        <v>0</v>
      </c>
    </row>
    <row r="11" spans="1:23" x14ac:dyDescent="0.25">
      <c r="A11" s="1" t="s">
        <v>6</v>
      </c>
      <c r="B11" s="2">
        <v>1</v>
      </c>
      <c r="C11">
        <f t="shared" si="8"/>
        <v>10</v>
      </c>
      <c r="D11">
        <f t="shared" si="0"/>
        <v>0</v>
      </c>
      <c r="E11">
        <f t="shared" si="1"/>
        <v>0</v>
      </c>
      <c r="G11" s="1" t="s">
        <v>6</v>
      </c>
      <c r="H11" s="2">
        <v>2</v>
      </c>
      <c r="I11">
        <f t="shared" si="9"/>
        <v>10</v>
      </c>
      <c r="J11">
        <f t="shared" si="2"/>
        <v>1.1102230246251565E-15</v>
      </c>
      <c r="K11">
        <f t="shared" si="3"/>
        <v>3.9038308101747083E-15</v>
      </c>
      <c r="M11" s="1" t="s">
        <v>6</v>
      </c>
      <c r="N11" s="2">
        <v>1</v>
      </c>
      <c r="O11">
        <f t="shared" si="10"/>
        <v>10</v>
      </c>
      <c r="P11">
        <f t="shared" si="4"/>
        <v>-12329.160393808861</v>
      </c>
      <c r="Q11">
        <f t="shared" si="5"/>
        <v>0</v>
      </c>
      <c r="S11" s="1" t="s">
        <v>6</v>
      </c>
      <c r="T11" s="2">
        <v>1</v>
      </c>
      <c r="U11">
        <f t="shared" si="11"/>
        <v>10</v>
      </c>
      <c r="V11">
        <f t="shared" si="6"/>
        <v>12329.160393808861</v>
      </c>
      <c r="W11">
        <f t="shared" si="7"/>
        <v>0</v>
      </c>
    </row>
    <row r="12" spans="1:23" x14ac:dyDescent="0.25">
      <c r="C12">
        <f t="shared" si="8"/>
        <v>12</v>
      </c>
      <c r="D12">
        <f t="shared" si="0"/>
        <v>2.6645352591003757E-15</v>
      </c>
      <c r="E12">
        <f t="shared" si="1"/>
        <v>2.6645352591003757E-15</v>
      </c>
      <c r="I12">
        <f t="shared" si="9"/>
        <v>12</v>
      </c>
      <c r="J12">
        <f t="shared" si="2"/>
        <v>2.4776023673127651E-14</v>
      </c>
      <c r="K12">
        <f t="shared" si="3"/>
        <v>5.5859575748468686E-13</v>
      </c>
      <c r="O12">
        <f t="shared" si="10"/>
        <v>12</v>
      </c>
      <c r="P12">
        <f t="shared" si="4"/>
        <v>-7543.0290934485101</v>
      </c>
      <c r="Q12">
        <f t="shared" si="5"/>
        <v>0</v>
      </c>
      <c r="U12">
        <f t="shared" si="11"/>
        <v>12</v>
      </c>
      <c r="V12">
        <f>Down_And_In_Call(U12,$T$11,$T$6,$T$7,$T$8,$T$9,$T$10)</f>
        <v>7543.0290934485101</v>
      </c>
      <c r="W12">
        <f t="shared" si="7"/>
        <v>0</v>
      </c>
    </row>
    <row r="13" spans="1:23" x14ac:dyDescent="0.25">
      <c r="C13">
        <f t="shared" si="8"/>
        <v>14</v>
      </c>
      <c r="D13">
        <f t="shared" si="0"/>
        <v>5.239007455391699E-15</v>
      </c>
      <c r="E13">
        <f t="shared" si="1"/>
        <v>5.239007455391699E-15</v>
      </c>
      <c r="I13">
        <f t="shared" si="9"/>
        <v>14</v>
      </c>
      <c r="J13">
        <f t="shared" si="2"/>
        <v>3.757397131027393E-12</v>
      </c>
      <c r="K13">
        <f t="shared" si="3"/>
        <v>2.9773939453902149E-11</v>
      </c>
      <c r="O13">
        <f t="shared" si="10"/>
        <v>14</v>
      </c>
      <c r="P13">
        <f t="shared" si="4"/>
        <v>-4945.1035335955867</v>
      </c>
      <c r="Q13">
        <f t="shared" si="5"/>
        <v>0</v>
      </c>
      <c r="U13">
        <f t="shared" si="11"/>
        <v>14</v>
      </c>
      <c r="V13">
        <f t="shared" ref="V13:V76" si="12">Down_And_In_Call(U13,$T$11,$T$6,$T$7,$T$8,$T$9,$T$10)</f>
        <v>4945.1035335955867</v>
      </c>
      <c r="W13">
        <f t="shared" si="7"/>
        <v>0</v>
      </c>
    </row>
    <row r="14" spans="1:23" x14ac:dyDescent="0.25">
      <c r="C14">
        <f t="shared" si="8"/>
        <v>16</v>
      </c>
      <c r="D14">
        <f t="shared" si="0"/>
        <v>6.4242951245076846E-13</v>
      </c>
      <c r="E14">
        <f t="shared" si="1"/>
        <v>6.4242951245076846E-13</v>
      </c>
      <c r="I14">
        <f t="shared" si="9"/>
        <v>16</v>
      </c>
      <c r="J14">
        <f t="shared" si="2"/>
        <v>8.5224180821090961E-11</v>
      </c>
      <c r="K14">
        <f t="shared" si="3"/>
        <v>7.3936730130925534E-10</v>
      </c>
      <c r="O14">
        <f t="shared" si="10"/>
        <v>16</v>
      </c>
      <c r="P14">
        <f t="shared" si="4"/>
        <v>-3408.6291273087963</v>
      </c>
      <c r="Q14">
        <f t="shared" si="5"/>
        <v>0</v>
      </c>
      <c r="U14">
        <f t="shared" si="11"/>
        <v>16</v>
      </c>
      <c r="V14">
        <f t="shared" si="12"/>
        <v>3408.6291273087959</v>
      </c>
      <c r="W14">
        <f t="shared" si="7"/>
        <v>0</v>
      </c>
    </row>
    <row r="15" spans="1:23" x14ac:dyDescent="0.25">
      <c r="C15">
        <f t="shared" si="8"/>
        <v>18</v>
      </c>
      <c r="D15">
        <f t="shared" si="0"/>
        <v>2.0040974338400438E-11</v>
      </c>
      <c r="E15">
        <f t="shared" si="1"/>
        <v>2.0040974338400438E-11</v>
      </c>
      <c r="I15">
        <f t="shared" si="9"/>
        <v>18</v>
      </c>
      <c r="J15">
        <f t="shared" si="2"/>
        <v>1.50099786638066E-9</v>
      </c>
      <c r="K15">
        <f t="shared" si="3"/>
        <v>1.0529229084309303E-8</v>
      </c>
      <c r="O15">
        <f t="shared" si="10"/>
        <v>18</v>
      </c>
      <c r="P15">
        <f t="shared" si="4"/>
        <v>-2440.1784723054966</v>
      </c>
      <c r="Q15">
        <f t="shared" si="5"/>
        <v>1.9984014443252818E-15</v>
      </c>
      <c r="U15">
        <f t="shared" si="11"/>
        <v>18</v>
      </c>
      <c r="V15">
        <f t="shared" si="12"/>
        <v>2440.1784723054966</v>
      </c>
      <c r="W15">
        <f t="shared" si="7"/>
        <v>1.9984014443252818E-15</v>
      </c>
    </row>
    <row r="16" spans="1:23" x14ac:dyDescent="0.25">
      <c r="C16">
        <f t="shared" si="8"/>
        <v>20</v>
      </c>
      <c r="D16">
        <f t="shared" si="0"/>
        <v>3.6257144867491246E-10</v>
      </c>
      <c r="E16">
        <f t="shared" si="1"/>
        <v>3.6257144867491246E-10</v>
      </c>
      <c r="I16">
        <f t="shared" si="9"/>
        <v>20</v>
      </c>
      <c r="J16">
        <f t="shared" si="2"/>
        <v>1.6657866281234956E-8</v>
      </c>
      <c r="K16">
        <f t="shared" si="3"/>
        <v>9.8515077001310301E-8</v>
      </c>
      <c r="O16">
        <f t="shared" si="10"/>
        <v>20</v>
      </c>
      <c r="P16">
        <f t="shared" si="4"/>
        <v>-1799.0164604277034</v>
      </c>
      <c r="Q16">
        <f t="shared" si="5"/>
        <v>2.5981159611578471E-15</v>
      </c>
      <c r="U16">
        <f t="shared" si="11"/>
        <v>20</v>
      </c>
      <c r="V16">
        <f t="shared" si="12"/>
        <v>1799.0164604277029</v>
      </c>
      <c r="W16">
        <f t="shared" si="7"/>
        <v>2.5981159611578471E-15</v>
      </c>
    </row>
    <row r="17" spans="3:23" x14ac:dyDescent="0.25">
      <c r="C17">
        <f t="shared" si="8"/>
        <v>22</v>
      </c>
      <c r="D17">
        <f t="shared" si="0"/>
        <v>4.297914850412022E-9</v>
      </c>
      <c r="E17">
        <f t="shared" si="1"/>
        <v>4.2979213870785136E-9</v>
      </c>
      <c r="I17">
        <f t="shared" si="9"/>
        <v>22</v>
      </c>
      <c r="J17">
        <f t="shared" si="2"/>
        <v>1.3078856986741724E-7</v>
      </c>
      <c r="K17">
        <f t="shared" si="3"/>
        <v>6.6499162511552597E-7</v>
      </c>
      <c r="O17">
        <f t="shared" si="10"/>
        <v>22</v>
      </c>
      <c r="P17">
        <f t="shared" si="4"/>
        <v>-1357.6346771520853</v>
      </c>
      <c r="Q17">
        <f t="shared" si="5"/>
        <v>1.4587924689471163E-13</v>
      </c>
      <c r="U17">
        <f t="shared" si="11"/>
        <v>22</v>
      </c>
      <c r="V17">
        <f t="shared" si="12"/>
        <v>1357.6346771520857</v>
      </c>
      <c r="W17">
        <f t="shared" si="7"/>
        <v>1.4587924689471163E-13</v>
      </c>
    </row>
    <row r="18" spans="3:23" x14ac:dyDescent="0.25">
      <c r="C18">
        <f t="shared" si="8"/>
        <v>24</v>
      </c>
      <c r="D18">
        <f t="shared" si="0"/>
        <v>3.6394244835575093E-8</v>
      </c>
      <c r="E18">
        <f t="shared" si="1"/>
        <v>3.6394672323875148E-8</v>
      </c>
      <c r="I18">
        <f t="shared" si="9"/>
        <v>24</v>
      </c>
      <c r="J18">
        <f t="shared" si="2"/>
        <v>7.7949174459609057E-7</v>
      </c>
      <c r="K18">
        <f t="shared" si="3"/>
        <v>3.4624586822655653E-6</v>
      </c>
      <c r="O18">
        <f t="shared" si="10"/>
        <v>24</v>
      </c>
      <c r="P18">
        <f t="shared" si="4"/>
        <v>-1043.9818638956478</v>
      </c>
      <c r="Q18">
        <f t="shared" si="5"/>
        <v>3.7566845164629273E-12</v>
      </c>
      <c r="U18">
        <f t="shared" si="11"/>
        <v>24</v>
      </c>
      <c r="V18">
        <f t="shared" si="12"/>
        <v>1043.9818638956517</v>
      </c>
      <c r="W18">
        <f t="shared" si="7"/>
        <v>3.7566845164629273E-12</v>
      </c>
    </row>
    <row r="19" spans="3:23" x14ac:dyDescent="0.25">
      <c r="C19">
        <f t="shared" si="8"/>
        <v>26</v>
      </c>
      <c r="D19">
        <f t="shared" si="0"/>
        <v>2.3463797628777008E-7</v>
      </c>
      <c r="E19">
        <f t="shared" si="1"/>
        <v>2.3464089964510418E-7</v>
      </c>
      <c r="I19">
        <f t="shared" si="9"/>
        <v>26</v>
      </c>
      <c r="J19">
        <f t="shared" si="2"/>
        <v>3.7140544946171034E-6</v>
      </c>
      <c r="K19">
        <f t="shared" si="3"/>
        <v>1.4608647637028065E-5</v>
      </c>
      <c r="O19">
        <f t="shared" si="10"/>
        <v>26</v>
      </c>
      <c r="P19">
        <f t="shared" si="4"/>
        <v>-815.15612567048368</v>
      </c>
      <c r="Q19">
        <f t="shared" si="5"/>
        <v>6.3705474180445771E-11</v>
      </c>
      <c r="U19">
        <f t="shared" si="11"/>
        <v>26</v>
      </c>
      <c r="V19">
        <f t="shared" si="12"/>
        <v>815.15612567054711</v>
      </c>
      <c r="W19">
        <f t="shared" si="7"/>
        <v>6.3705474180445771E-11</v>
      </c>
    </row>
    <row r="20" spans="3:23" x14ac:dyDescent="0.25">
      <c r="C20">
        <f t="shared" si="8"/>
        <v>28</v>
      </c>
      <c r="D20">
        <f t="shared" si="0"/>
        <v>1.2085353355352557E-6</v>
      </c>
      <c r="E20">
        <f t="shared" si="1"/>
        <v>1.2085641102000491E-6</v>
      </c>
      <c r="I20">
        <f t="shared" si="9"/>
        <v>28</v>
      </c>
      <c r="J20">
        <f t="shared" si="2"/>
        <v>1.4713474213405732E-5</v>
      </c>
      <c r="K20">
        <f t="shared" si="3"/>
        <v>5.1839650592775972E-5</v>
      </c>
      <c r="O20">
        <f t="shared" si="10"/>
        <v>28</v>
      </c>
      <c r="P20">
        <f t="shared" si="4"/>
        <v>-644.48334854137102</v>
      </c>
      <c r="Q20">
        <f t="shared" si="5"/>
        <v>7.6362654410510265E-10</v>
      </c>
      <c r="U20">
        <f t="shared" si="11"/>
        <v>28</v>
      </c>
      <c r="V20">
        <f t="shared" si="12"/>
        <v>644.48334854213476</v>
      </c>
      <c r="W20">
        <f t="shared" si="7"/>
        <v>7.6362654410510265E-10</v>
      </c>
    </row>
    <row r="21" spans="3:23" x14ac:dyDescent="0.25">
      <c r="C21">
        <f t="shared" si="8"/>
        <v>30</v>
      </c>
      <c r="D21">
        <f t="shared" si="0"/>
        <v>5.16131369881241E-6</v>
      </c>
      <c r="E21">
        <f t="shared" si="1"/>
        <v>5.1615254279194217E-6</v>
      </c>
      <c r="I21">
        <f t="shared" si="9"/>
        <v>30</v>
      </c>
      <c r="J21">
        <f t="shared" si="2"/>
        <v>4.9954448483597403E-5</v>
      </c>
      <c r="K21">
        <f t="shared" si="3"/>
        <v>1.5922770429573335E-4</v>
      </c>
      <c r="O21">
        <f t="shared" si="10"/>
        <v>30</v>
      </c>
      <c r="P21">
        <f t="shared" si="4"/>
        <v>-514.76543488822153</v>
      </c>
      <c r="Q21">
        <f t="shared" si="5"/>
        <v>6.8518700116579451E-9</v>
      </c>
      <c r="U21">
        <f t="shared" si="11"/>
        <v>30</v>
      </c>
      <c r="V21">
        <f t="shared" si="12"/>
        <v>514.76543489507367</v>
      </c>
      <c r="W21">
        <f t="shared" si="7"/>
        <v>6.8518700116579451E-9</v>
      </c>
    </row>
    <row r="22" spans="3:23" x14ac:dyDescent="0.25">
      <c r="C22">
        <f t="shared" si="8"/>
        <v>32</v>
      </c>
      <c r="D22">
        <f t="shared" si="0"/>
        <v>1.8818576394417799E-5</v>
      </c>
      <c r="E22">
        <f t="shared" si="1"/>
        <v>1.8819862086184175E-5</v>
      </c>
      <c r="I22">
        <f t="shared" si="9"/>
        <v>32</v>
      </c>
      <c r="J22">
        <f t="shared" si="2"/>
        <v>1.4886049531917186E-4</v>
      </c>
      <c r="K22">
        <f t="shared" si="3"/>
        <v>4.3299674570894224E-4</v>
      </c>
      <c r="O22">
        <f t="shared" si="10"/>
        <v>32</v>
      </c>
      <c r="P22">
        <f t="shared" si="4"/>
        <v>-414.56560040368328</v>
      </c>
      <c r="Q22">
        <f t="shared" si="5"/>
        <v>4.8154129975752905E-8</v>
      </c>
      <c r="U22">
        <f t="shared" si="11"/>
        <v>32</v>
      </c>
      <c r="V22">
        <f t="shared" si="12"/>
        <v>414.56560045183744</v>
      </c>
      <c r="W22">
        <f t="shared" si="7"/>
        <v>4.8154129975752905E-8</v>
      </c>
    </row>
    <row r="23" spans="3:23" x14ac:dyDescent="0.25">
      <c r="C23">
        <f t="shared" si="8"/>
        <v>34</v>
      </c>
      <c r="D23">
        <f t="shared" si="0"/>
        <v>5.9960717821632174E-5</v>
      </c>
      <c r="E23">
        <f t="shared" si="1"/>
        <v>5.9967311914043168E-5</v>
      </c>
      <c r="I23">
        <f t="shared" si="9"/>
        <v>34</v>
      </c>
      <c r="J23">
        <f t="shared" si="2"/>
        <v>3.968309775776713E-4</v>
      </c>
      <c r="K23">
        <f t="shared" si="3"/>
        <v>1.0614174624756605E-3</v>
      </c>
      <c r="O23">
        <f t="shared" si="10"/>
        <v>34</v>
      </c>
      <c r="P23">
        <f t="shared" si="4"/>
        <v>-336.07340072904611</v>
      </c>
      <c r="Q23">
        <f t="shared" si="5"/>
        <v>2.7480828092229592E-7</v>
      </c>
      <c r="U23">
        <f t="shared" si="11"/>
        <v>34</v>
      </c>
      <c r="V23">
        <f t="shared" si="12"/>
        <v>336.07340100385431</v>
      </c>
      <c r="W23">
        <f t="shared" si="7"/>
        <v>2.7480828092229592E-7</v>
      </c>
    </row>
    <row r="24" spans="3:23" x14ac:dyDescent="0.25">
      <c r="C24">
        <f t="shared" si="8"/>
        <v>36</v>
      </c>
      <c r="D24">
        <f t="shared" si="0"/>
        <v>1.7013636961403901E-4</v>
      </c>
      <c r="E24">
        <f t="shared" si="1"/>
        <v>1.7016559210226382E-4</v>
      </c>
      <c r="I24">
        <f t="shared" si="9"/>
        <v>36</v>
      </c>
      <c r="J24">
        <f t="shared" si="2"/>
        <v>9.6107215618751116E-4</v>
      </c>
      <c r="K24">
        <f t="shared" si="3"/>
        <v>2.3798864907255274E-3</v>
      </c>
      <c r="O24">
        <f t="shared" si="10"/>
        <v>36</v>
      </c>
      <c r="P24">
        <f t="shared" si="4"/>
        <v>-273.83089981849702</v>
      </c>
      <c r="Q24">
        <f t="shared" si="5"/>
        <v>1.3112479566884406E-6</v>
      </c>
      <c r="U24">
        <f t="shared" si="11"/>
        <v>36</v>
      </c>
      <c r="V24">
        <f t="shared" si="12"/>
        <v>273.83090112974503</v>
      </c>
      <c r="W24">
        <f t="shared" si="7"/>
        <v>1.3112479566884406E-6</v>
      </c>
    </row>
    <row r="25" spans="3:23" x14ac:dyDescent="0.25">
      <c r="C25">
        <f t="shared" si="8"/>
        <v>38</v>
      </c>
      <c r="D25">
        <f t="shared" si="0"/>
        <v>4.3660815966922121E-4</v>
      </c>
      <c r="E25">
        <f t="shared" si="1"/>
        <v>4.367221603059513E-4</v>
      </c>
      <c r="I25">
        <f t="shared" si="9"/>
        <v>38</v>
      </c>
      <c r="J25">
        <f t="shared" si="2"/>
        <v>2.1415465868738631E-3</v>
      </c>
      <c r="K25">
        <f t="shared" si="3"/>
        <v>4.9394804529947905E-3</v>
      </c>
      <c r="O25">
        <f t="shared" si="10"/>
        <v>38</v>
      </c>
      <c r="P25">
        <f t="shared" si="4"/>
        <v>-223.9474944692189</v>
      </c>
      <c r="Q25">
        <f t="shared" si="5"/>
        <v>5.3578487761672938E-6</v>
      </c>
      <c r="U25">
        <f t="shared" si="11"/>
        <v>38</v>
      </c>
      <c r="V25">
        <f t="shared" si="12"/>
        <v>223.94749982706765</v>
      </c>
      <c r="W25">
        <f t="shared" si="7"/>
        <v>5.3578487761672938E-6</v>
      </c>
    </row>
    <row r="26" spans="3:23" x14ac:dyDescent="0.25">
      <c r="C26">
        <f t="shared" si="8"/>
        <v>40</v>
      </c>
      <c r="D26">
        <f t="shared" si="0"/>
        <v>1.0263828466352265E-3</v>
      </c>
      <c r="E26">
        <f t="shared" si="1"/>
        <v>1.0267804579219275E-3</v>
      </c>
      <c r="I26">
        <f t="shared" si="9"/>
        <v>40</v>
      </c>
      <c r="J26">
        <f t="shared" si="2"/>
        <v>4.4368637373755591E-3</v>
      </c>
      <c r="K26">
        <f t="shared" si="3"/>
        <v>9.5841775924574713E-3</v>
      </c>
      <c r="O26">
        <f t="shared" si="10"/>
        <v>40</v>
      </c>
      <c r="P26">
        <f t="shared" si="4"/>
        <v>-183.60171857408818</v>
      </c>
      <c r="Q26">
        <f t="shared" si="5"/>
        <v>1.9122779968273559E-5</v>
      </c>
      <c r="U26">
        <f t="shared" si="11"/>
        <v>40</v>
      </c>
      <c r="V26">
        <f t="shared" si="12"/>
        <v>183.60173769686804</v>
      </c>
      <c r="W26">
        <f t="shared" si="7"/>
        <v>1.9122779968273559E-5</v>
      </c>
    </row>
    <row r="27" spans="3:23" x14ac:dyDescent="0.25">
      <c r="C27">
        <f t="shared" si="8"/>
        <v>42</v>
      </c>
      <c r="D27">
        <f t="shared" si="0"/>
        <v>2.2340634778758722E-3</v>
      </c>
      <c r="E27">
        <f t="shared" si="1"/>
        <v>2.2353195504370565E-3</v>
      </c>
      <c r="I27">
        <f t="shared" si="9"/>
        <v>42</v>
      </c>
      <c r="J27">
        <f t="shared" si="2"/>
        <v>8.6221239869712502E-3</v>
      </c>
      <c r="K27">
        <f t="shared" si="3"/>
        <v>1.7529333575437567E-2</v>
      </c>
      <c r="O27">
        <f t="shared" si="10"/>
        <v>42</v>
      </c>
      <c r="P27">
        <f t="shared" si="4"/>
        <v>-150.71660901786669</v>
      </c>
      <c r="Q27">
        <f t="shared" si="5"/>
        <v>6.0612189301401413E-5</v>
      </c>
      <c r="U27">
        <f t="shared" si="11"/>
        <v>42</v>
      </c>
      <c r="V27">
        <f t="shared" si="12"/>
        <v>150.71666963005595</v>
      </c>
      <c r="W27">
        <f t="shared" si="7"/>
        <v>6.0612189301401413E-5</v>
      </c>
    </row>
    <row r="28" spans="3:23" x14ac:dyDescent="0.25">
      <c r="C28">
        <f t="shared" si="8"/>
        <v>44</v>
      </c>
      <c r="D28">
        <f t="shared" si="0"/>
        <v>4.5432457030502582E-3</v>
      </c>
      <c r="E28">
        <f t="shared" si="1"/>
        <v>4.5468794312917282E-3</v>
      </c>
      <c r="I28">
        <f t="shared" si="9"/>
        <v>44</v>
      </c>
      <c r="J28">
        <f t="shared" si="2"/>
        <v>1.5832892806347643E-2</v>
      </c>
      <c r="K28">
        <f t="shared" si="3"/>
        <v>3.043251982791062E-2</v>
      </c>
      <c r="O28">
        <f t="shared" si="10"/>
        <v>44</v>
      </c>
      <c r="P28">
        <f t="shared" si="4"/>
        <v>-123.74276790447345</v>
      </c>
      <c r="Q28">
        <f t="shared" si="5"/>
        <v>1.7301496774147331E-4</v>
      </c>
      <c r="U28">
        <f t="shared" si="11"/>
        <v>44</v>
      </c>
      <c r="V28">
        <f t="shared" si="12"/>
        <v>123.74294091944117</v>
      </c>
      <c r="W28">
        <f t="shared" si="7"/>
        <v>1.7301496774147331E-4</v>
      </c>
    </row>
    <row r="29" spans="3:23" x14ac:dyDescent="0.25">
      <c r="C29">
        <f t="shared" si="8"/>
        <v>46</v>
      </c>
      <c r="D29">
        <f t="shared" si="0"/>
        <v>8.6985677736208522E-3</v>
      </c>
      <c r="E29">
        <f t="shared" si="1"/>
        <v>8.7082850524291544E-3</v>
      </c>
      <c r="I29">
        <f t="shared" si="9"/>
        <v>46</v>
      </c>
      <c r="J29">
        <f t="shared" si="2"/>
        <v>2.7647254292220896E-2</v>
      </c>
      <c r="K29">
        <f t="shared" si="3"/>
        <v>5.0447804043269984E-2</v>
      </c>
      <c r="O29">
        <f t="shared" si="10"/>
        <v>46</v>
      </c>
      <c r="P29">
        <f t="shared" si="4"/>
        <v>-101.50987789726582</v>
      </c>
      <c r="Q29">
        <f t="shared" si="5"/>
        <v>4.5006843705147452E-4</v>
      </c>
      <c r="U29">
        <f t="shared" si="11"/>
        <v>46</v>
      </c>
      <c r="V29">
        <f t="shared" si="12"/>
        <v>101.51032796570283</v>
      </c>
      <c r="W29">
        <f t="shared" si="7"/>
        <v>4.5006843705147452E-4</v>
      </c>
    </row>
    <row r="30" spans="3:23" x14ac:dyDescent="0.25">
      <c r="C30">
        <f t="shared" si="8"/>
        <v>48</v>
      </c>
      <c r="D30">
        <f t="shared" si="0"/>
        <v>1.5782829933868564E-2</v>
      </c>
      <c r="E30">
        <f t="shared" si="1"/>
        <v>1.5807045161173261E-2</v>
      </c>
      <c r="I30">
        <f t="shared" si="9"/>
        <v>48</v>
      </c>
      <c r="J30">
        <f t="shared" si="2"/>
        <v>4.615676645951855E-2</v>
      </c>
      <c r="K30">
        <f t="shared" si="3"/>
        <v>8.0255935022270242E-2</v>
      </c>
      <c r="O30">
        <f t="shared" si="10"/>
        <v>48</v>
      </c>
      <c r="P30">
        <f t="shared" si="4"/>
        <v>-83.122829383926444</v>
      </c>
      <c r="Q30">
        <f t="shared" si="5"/>
        <v>1.0778518855039318E-3</v>
      </c>
      <c r="U30">
        <f t="shared" si="11"/>
        <v>48</v>
      </c>
      <c r="V30">
        <f t="shared" si="12"/>
        <v>83.12390723581197</v>
      </c>
      <c r="W30">
        <f t="shared" si="7"/>
        <v>1.0778518855039318E-3</v>
      </c>
    </row>
    <row r="31" spans="3:23" x14ac:dyDescent="0.25">
      <c r="C31">
        <f t="shared" si="8"/>
        <v>50</v>
      </c>
      <c r="D31">
        <f t="shared" si="0"/>
        <v>2.7291400633782159E-2</v>
      </c>
      <c r="E31">
        <f t="shared" si="1"/>
        <v>2.7348025381525032E-2</v>
      </c>
      <c r="I31">
        <f t="shared" si="9"/>
        <v>50</v>
      </c>
      <c r="J31">
        <f t="shared" si="2"/>
        <v>7.4017352664408953E-2</v>
      </c>
      <c r="K31">
        <f t="shared" si="3"/>
        <v>0.12306535698778087</v>
      </c>
      <c r="O31">
        <f t="shared" si="10"/>
        <v>50</v>
      </c>
      <c r="P31">
        <f t="shared" si="4"/>
        <v>-67.887742179138343</v>
      </c>
      <c r="Q31">
        <f t="shared" si="5"/>
        <v>2.3973386710705175E-3</v>
      </c>
      <c r="U31">
        <f t="shared" si="11"/>
        <v>50</v>
      </c>
      <c r="V31">
        <f t="shared" si="12"/>
        <v>67.890139517809388</v>
      </c>
      <c r="W31">
        <f t="shared" si="7"/>
        <v>2.3973386710705175E-3</v>
      </c>
    </row>
    <row r="32" spans="3:23" x14ac:dyDescent="0.25">
      <c r="C32">
        <f t="shared" si="8"/>
        <v>52</v>
      </c>
      <c r="D32">
        <f t="shared" si="0"/>
        <v>4.5194900879498845E-2</v>
      </c>
      <c r="E32">
        <f t="shared" si="1"/>
        <v>4.5319905206173683E-2</v>
      </c>
      <c r="I32">
        <f t="shared" si="9"/>
        <v>52</v>
      </c>
      <c r="J32">
        <f t="shared" si="2"/>
        <v>0.11447266742626699</v>
      </c>
      <c r="K32">
        <f t="shared" si="3"/>
        <v>0.18258202720034422</v>
      </c>
      <c r="O32">
        <f t="shared" si="10"/>
        <v>52</v>
      </c>
      <c r="P32">
        <f t="shared" si="4"/>
        <v>-55.258633643987821</v>
      </c>
      <c r="Q32">
        <f t="shared" si="5"/>
        <v>4.9898490258926398E-3</v>
      </c>
      <c r="U32">
        <f t="shared" si="11"/>
        <v>52</v>
      </c>
      <c r="V32">
        <f t="shared" si="12"/>
        <v>55.263623493013711</v>
      </c>
      <c r="W32">
        <f t="shared" si="7"/>
        <v>4.9898490258926398E-3</v>
      </c>
    </row>
    <row r="33" spans="3:23" x14ac:dyDescent="0.25">
      <c r="C33">
        <f t="shared" si="8"/>
        <v>54</v>
      </c>
      <c r="D33">
        <f t="shared" si="0"/>
        <v>7.1981165688282278E-2</v>
      </c>
      <c r="E33">
        <f t="shared" si="1"/>
        <v>7.2243069061134868E-2</v>
      </c>
      <c r="I33">
        <f t="shared" si="9"/>
        <v>54</v>
      </c>
      <c r="J33">
        <f t="shared" si="2"/>
        <v>0.17134498576376256</v>
      </c>
      <c r="K33">
        <f t="shared" si="3"/>
        <v>0.2629491231093497</v>
      </c>
      <c r="O33">
        <f t="shared" si="10"/>
        <v>54</v>
      </c>
      <c r="P33">
        <f t="shared" si="4"/>
        <v>-44.798767799503509</v>
      </c>
      <c r="Q33">
        <f t="shared" si="5"/>
        <v>9.7838114759947747E-3</v>
      </c>
      <c r="U33">
        <f t="shared" si="11"/>
        <v>54</v>
      </c>
      <c r="V33">
        <f t="shared" si="12"/>
        <v>44.808551610979492</v>
      </c>
      <c r="W33">
        <f t="shared" si="7"/>
        <v>9.7838114759947747E-3</v>
      </c>
    </row>
    <row r="34" spans="3:23" x14ac:dyDescent="0.25">
      <c r="C34">
        <f t="shared" si="8"/>
        <v>56</v>
      </c>
      <c r="D34">
        <f t="shared" si="0"/>
        <v>0.1106687283619685</v>
      </c>
      <c r="E34">
        <f t="shared" si="1"/>
        <v>0.1111919329013884</v>
      </c>
      <c r="I34">
        <f t="shared" si="9"/>
        <v>56</v>
      </c>
      <c r="J34">
        <f t="shared" si="2"/>
        <v>0.2489917525056573</v>
      </c>
      <c r="K34">
        <f t="shared" si="3"/>
        <v>0.36866045954172399</v>
      </c>
      <c r="O34">
        <f t="shared" si="10"/>
        <v>56</v>
      </c>
      <c r="P34">
        <f t="shared" si="4"/>
        <v>-36.15268642888779</v>
      </c>
      <c r="Q34">
        <f t="shared" si="5"/>
        <v>1.81765069687293E-2</v>
      </c>
      <c r="U34">
        <f t="shared" si="11"/>
        <v>56</v>
      </c>
      <c r="V34">
        <f t="shared" si="12"/>
        <v>36.170862935856519</v>
      </c>
      <c r="W34">
        <f t="shared" si="7"/>
        <v>1.81765069687293E-2</v>
      </c>
    </row>
    <row r="35" spans="3:23" x14ac:dyDescent="0.25">
      <c r="C35">
        <f t="shared" si="8"/>
        <v>58</v>
      </c>
      <c r="D35">
        <f t="shared" si="0"/>
        <v>0.16478633814506161</v>
      </c>
      <c r="E35">
        <f t="shared" si="1"/>
        <v>0.16578702082692676</v>
      </c>
      <c r="I35">
        <f t="shared" si="9"/>
        <v>58</v>
      </c>
      <c r="J35">
        <f t="shared" si="2"/>
        <v>0.3522291207786743</v>
      </c>
      <c r="K35">
        <f t="shared" si="3"/>
        <v>0.50445349225575153</v>
      </c>
      <c r="O35">
        <f t="shared" si="10"/>
        <v>58</v>
      </c>
      <c r="P35">
        <f t="shared" si="4"/>
        <v>-29.026110443089692</v>
      </c>
      <c r="Q35">
        <f t="shared" si="5"/>
        <v>3.2159705518000126E-2</v>
      </c>
      <c r="U35">
        <f t="shared" si="11"/>
        <v>58</v>
      </c>
      <c r="V35">
        <f t="shared" si="12"/>
        <v>29.05827014860769</v>
      </c>
      <c r="W35">
        <f t="shared" si="7"/>
        <v>3.2159705518000126E-2</v>
      </c>
    </row>
    <row r="36" spans="3:23" x14ac:dyDescent="0.25">
      <c r="C36">
        <f t="shared" si="8"/>
        <v>60</v>
      </c>
      <c r="D36">
        <f t="shared" si="0"/>
        <v>0.2383159345053687</v>
      </c>
      <c r="E36">
        <f t="shared" si="1"/>
        <v>0.24015498431308213</v>
      </c>
      <c r="I36">
        <f t="shared" si="9"/>
        <v>60</v>
      </c>
      <c r="J36">
        <f t="shared" si="2"/>
        <v>0.4862266850642265</v>
      </c>
      <c r="K36">
        <f t="shared" si="3"/>
        <v>0.67518901940991505</v>
      </c>
      <c r="O36">
        <f t="shared" si="10"/>
        <v>60</v>
      </c>
      <c r="P36">
        <f t="shared" si="4"/>
        <v>-23.171641649042172</v>
      </c>
      <c r="Q36">
        <f t="shared" si="5"/>
        <v>5.4434442111226833E-2</v>
      </c>
      <c r="U36">
        <f t="shared" si="11"/>
        <v>60</v>
      </c>
      <c r="V36">
        <f t="shared" si="12"/>
        <v>23.226076091153388</v>
      </c>
      <c r="W36">
        <f t="shared" si="7"/>
        <v>5.4434442111226833E-2</v>
      </c>
    </row>
    <row r="37" spans="3:23" x14ac:dyDescent="0.25">
      <c r="C37">
        <f t="shared" si="8"/>
        <v>62</v>
      </c>
      <c r="D37">
        <f t="shared" si="0"/>
        <v>0.33559963614220845</v>
      </c>
      <c r="E37">
        <f t="shared" si="1"/>
        <v>0.33885775462973289</v>
      </c>
      <c r="I37">
        <f t="shared" si="9"/>
        <v>62</v>
      </c>
      <c r="J37">
        <f t="shared" si="2"/>
        <v>0.65637986104560264</v>
      </c>
      <c r="K37">
        <f t="shared" si="3"/>
        <v>0.88572510597295118</v>
      </c>
      <c r="O37">
        <f t="shared" si="10"/>
        <v>62</v>
      </c>
      <c r="P37">
        <f t="shared" si="4"/>
        <v>-18.378692006132752</v>
      </c>
      <c r="Q37">
        <f t="shared" si="5"/>
        <v>8.8498584715928752E-2</v>
      </c>
      <c r="U37">
        <f t="shared" si="11"/>
        <v>62</v>
      </c>
      <c r="V37">
        <f t="shared" si="12"/>
        <v>18.467190590848688</v>
      </c>
      <c r="W37">
        <f t="shared" si="7"/>
        <v>8.8498584715928752E-2</v>
      </c>
    </row>
    <row r="38" spans="3:23" x14ac:dyDescent="0.25">
      <c r="C38">
        <f t="shared" si="8"/>
        <v>64</v>
      </c>
      <c r="D38">
        <f t="shared" si="0"/>
        <v>0.46121426289775869</v>
      </c>
      <c r="E38">
        <f t="shared" si="1"/>
        <v>0.46679473182162301</v>
      </c>
      <c r="I38">
        <f t="shared" si="9"/>
        <v>64</v>
      </c>
      <c r="J38">
        <f t="shared" si="2"/>
        <v>0.86816780446886721</v>
      </c>
      <c r="K38">
        <f t="shared" si="3"/>
        <v>1.1407924514521692</v>
      </c>
      <c r="O38">
        <f t="shared" si="10"/>
        <v>64</v>
      </c>
      <c r="P38">
        <f t="shared" si="4"/>
        <v>-14.466431643642153</v>
      </c>
      <c r="Q38">
        <f t="shared" si="5"/>
        <v>0.13869185329689238</v>
      </c>
      <c r="U38">
        <f t="shared" si="11"/>
        <v>64</v>
      </c>
      <c r="V38">
        <f t="shared" si="12"/>
        <v>14.605123496939044</v>
      </c>
      <c r="W38">
        <f t="shared" si="7"/>
        <v>0.13869185329689238</v>
      </c>
    </row>
    <row r="39" spans="3:23" x14ac:dyDescent="0.25">
      <c r="C39">
        <f t="shared" si="8"/>
        <v>66</v>
      </c>
      <c r="D39">
        <f t="shared" si="0"/>
        <v>0.61981938430330619</v>
      </c>
      <c r="E39">
        <f t="shared" si="1"/>
        <v>0.62908403765995136</v>
      </c>
      <c r="I39">
        <f t="shared" si="9"/>
        <v>66</v>
      </c>
      <c r="J39">
        <f t="shared" si="2"/>
        <v>1.1270053495767591</v>
      </c>
      <c r="K39">
        <f t="shared" si="3"/>
        <v>1.4448775646529413</v>
      </c>
      <c r="O39">
        <f t="shared" si="10"/>
        <v>66</v>
      </c>
      <c r="P39">
        <f t="shared" si="4"/>
        <v>-11.278833604264562</v>
      </c>
      <c r="Q39">
        <f t="shared" si="5"/>
        <v>0.21018651504435981</v>
      </c>
      <c r="U39">
        <f t="shared" si="11"/>
        <v>66</v>
      </c>
      <c r="V39">
        <f t="shared" si="12"/>
        <v>11.48902011930894</v>
      </c>
      <c r="W39">
        <f t="shared" si="7"/>
        <v>0.21018651504435981</v>
      </c>
    </row>
    <row r="40" spans="3:23" x14ac:dyDescent="0.25">
      <c r="C40">
        <f t="shared" si="8"/>
        <v>68</v>
      </c>
      <c r="D40">
        <f t="shared" si="0"/>
        <v>0.81598668502332927</v>
      </c>
      <c r="E40">
        <f t="shared" si="1"/>
        <v>0.83093022167464969</v>
      </c>
      <c r="I40">
        <f t="shared" si="9"/>
        <v>68</v>
      </c>
      <c r="J40">
        <f t="shared" si="2"/>
        <v>1.4380972492220252</v>
      </c>
      <c r="K40">
        <f t="shared" si="3"/>
        <v>1.8021188902197505</v>
      </c>
      <c r="O40">
        <f t="shared" si="10"/>
        <v>68</v>
      </c>
      <c r="P40">
        <f t="shared" si="4"/>
        <v>-8.6809356905679564</v>
      </c>
      <c r="Q40">
        <f t="shared" si="5"/>
        <v>0.3089175307578107</v>
      </c>
      <c r="U40">
        <f t="shared" si="11"/>
        <v>68</v>
      </c>
      <c r="V40">
        <f t="shared" si="12"/>
        <v>8.9898532213257667</v>
      </c>
      <c r="W40">
        <f t="shared" si="7"/>
        <v>0.3089175307578107</v>
      </c>
    </row>
    <row r="41" spans="3:23" x14ac:dyDescent="0.25">
      <c r="C41">
        <f t="shared" si="8"/>
        <v>70</v>
      </c>
      <c r="D41">
        <f t="shared" si="0"/>
        <v>1.054019476609005</v>
      </c>
      <c r="E41">
        <f t="shared" si="1"/>
        <v>1.0774863642564387</v>
      </c>
      <c r="I41">
        <f t="shared" si="9"/>
        <v>70</v>
      </c>
      <c r="J41">
        <f t="shared" si="2"/>
        <v>1.8063021549636007</v>
      </c>
      <c r="K41">
        <f t="shared" si="3"/>
        <v>2.2162196335168254</v>
      </c>
      <c r="O41">
        <f t="shared" si="10"/>
        <v>70</v>
      </c>
      <c r="P41">
        <f t="shared" si="4"/>
        <v>-6.5562052285118497</v>
      </c>
      <c r="Q41">
        <f t="shared" si="5"/>
        <v>0.44145251586279777</v>
      </c>
      <c r="U41">
        <f t="shared" si="11"/>
        <v>70</v>
      </c>
      <c r="V41">
        <f t="shared" si="12"/>
        <v>6.9976577443746422</v>
      </c>
      <c r="W41">
        <f t="shared" si="7"/>
        <v>0.44145251586279777</v>
      </c>
    </row>
    <row r="42" spans="3:23" x14ac:dyDescent="0.25">
      <c r="C42">
        <f t="shared" si="8"/>
        <v>72</v>
      </c>
      <c r="D42">
        <f t="shared" si="0"/>
        <v>1.3377714867082329</v>
      </c>
      <c r="E42">
        <f t="shared" si="1"/>
        <v>1.3737183316859447</v>
      </c>
      <c r="I42">
        <f t="shared" si="9"/>
        <v>72</v>
      </c>
      <c r="J42">
        <f t="shared" si="2"/>
        <v>2.2360124690116692</v>
      </c>
      <c r="K42">
        <f t="shared" si="3"/>
        <v>2.6903796095191268</v>
      </c>
      <c r="O42">
        <f t="shared" si="10"/>
        <v>72</v>
      </c>
      <c r="P42">
        <f t="shared" si="4"/>
        <v>-4.8045203482941758</v>
      </c>
      <c r="Q42">
        <f t="shared" si="5"/>
        <v>0.61480843166256705</v>
      </c>
      <c r="U42">
        <f t="shared" si="11"/>
        <v>72</v>
      </c>
      <c r="V42">
        <f t="shared" si="12"/>
        <v>5.4193287799567429</v>
      </c>
      <c r="W42">
        <f t="shared" si="7"/>
        <v>0.61480843166256705</v>
      </c>
    </row>
    <row r="43" spans="3:23" x14ac:dyDescent="0.25">
      <c r="C43">
        <f t="shared" si="8"/>
        <v>74</v>
      </c>
      <c r="D43">
        <f t="shared" si="0"/>
        <v>1.6704737117517503</v>
      </c>
      <c r="E43">
        <f t="shared" si="1"/>
        <v>1.7242781420652786</v>
      </c>
      <c r="I43">
        <f t="shared" si="9"/>
        <v>74</v>
      </c>
      <c r="J43">
        <f t="shared" si="2"/>
        <v>2.731054623634197</v>
      </c>
      <c r="K43">
        <f t="shared" si="3"/>
        <v>3.2272471176349526</v>
      </c>
      <c r="O43">
        <f t="shared" si="10"/>
        <v>74</v>
      </c>
      <c r="P43">
        <f t="shared" si="4"/>
        <v>-3.3401517448589821</v>
      </c>
      <c r="Q43">
        <f t="shared" si="5"/>
        <v>0.8362274647123531</v>
      </c>
      <c r="U43">
        <f t="shared" si="11"/>
        <v>74</v>
      </c>
      <c r="V43">
        <f t="shared" si="12"/>
        <v>4.1763792095713299</v>
      </c>
      <c r="W43">
        <f t="shared" si="7"/>
        <v>0.8362274647123531</v>
      </c>
    </row>
    <row r="44" spans="3:23" x14ac:dyDescent="0.25">
      <c r="C44">
        <f t="shared" si="8"/>
        <v>76</v>
      </c>
      <c r="D44">
        <f t="shared" si="0"/>
        <v>2.0545772589180533</v>
      </c>
      <c r="E44">
        <f t="shared" si="1"/>
        <v>2.1333921751131371</v>
      </c>
      <c r="I44">
        <f t="shared" si="9"/>
        <v>76</v>
      </c>
      <c r="J44">
        <f t="shared" si="2"/>
        <v>3.294612676385821</v>
      </c>
      <c r="K44">
        <f t="shared" si="3"/>
        <v>3.8288906985040114</v>
      </c>
      <c r="O44">
        <f t="shared" si="10"/>
        <v>76</v>
      </c>
      <c r="P44">
        <f t="shared" si="4"/>
        <v>-2.0903635184666651</v>
      </c>
      <c r="Q44">
        <f t="shared" si="5"/>
        <v>1.1129283844447109</v>
      </c>
      <c r="U44">
        <f t="shared" si="11"/>
        <v>76</v>
      </c>
      <c r="V44">
        <f t="shared" si="12"/>
        <v>3.2032919029113742</v>
      </c>
      <c r="W44">
        <f t="shared" si="7"/>
        <v>1.1129283844447109</v>
      </c>
    </row>
    <row r="45" spans="3:23" x14ac:dyDescent="0.25">
      <c r="C45">
        <f t="shared" si="8"/>
        <v>78</v>
      </c>
      <c r="D45">
        <f t="shared" si="0"/>
        <v>2.491618874873609</v>
      </c>
      <c r="E45">
        <f t="shared" si="1"/>
        <v>2.6047684875149386</v>
      </c>
      <c r="I45">
        <f t="shared" si="9"/>
        <v>78</v>
      </c>
      <c r="J45">
        <f t="shared" si="2"/>
        <v>3.9291765004429973</v>
      </c>
      <c r="K45">
        <f t="shared" si="3"/>
        <v>4.4967897054253996</v>
      </c>
      <c r="O45">
        <f t="shared" si="10"/>
        <v>78</v>
      </c>
      <c r="P45">
        <f t="shared" si="4"/>
        <v>-0.99396589136906321</v>
      </c>
      <c r="Q45">
        <f t="shared" si="5"/>
        <v>1.4518514480777718</v>
      </c>
      <c r="U45">
        <f t="shared" si="11"/>
        <v>78</v>
      </c>
      <c r="V45">
        <f t="shared" si="12"/>
        <v>2.4458173394468332</v>
      </c>
      <c r="W45">
        <f t="shared" si="7"/>
        <v>1.4518514480777718</v>
      </c>
    </row>
    <row r="46" spans="3:23" x14ac:dyDescent="0.25">
      <c r="C46">
        <f t="shared" si="8"/>
        <v>80</v>
      </c>
      <c r="D46">
        <f t="shared" si="0"/>
        <v>2.9821144051501669</v>
      </c>
      <c r="E46">
        <f t="shared" si="1"/>
        <v>3.1415259485329976</v>
      </c>
      <c r="I46">
        <f t="shared" si="9"/>
        <v>80</v>
      </c>
      <c r="J46">
        <f t="shared" si="2"/>
        <v>4.6365144100123707</v>
      </c>
      <c r="K46">
        <f t="shared" si="3"/>
        <v>5.2318419367587232</v>
      </c>
      <c r="O46">
        <f t="shared" si="10"/>
        <v>80</v>
      </c>
      <c r="P46">
        <f t="shared" si="4"/>
        <v>-1.6789838908150452E-15</v>
      </c>
      <c r="Q46">
        <f t="shared" si="5"/>
        <v>1.8594146583578315</v>
      </c>
      <c r="U46">
        <f t="shared" si="11"/>
        <v>80</v>
      </c>
      <c r="V46">
        <f t="shared" si="12"/>
        <v>1.8594146583578315</v>
      </c>
      <c r="W46">
        <f t="shared" si="7"/>
        <v>1.8594146583578315</v>
      </c>
    </row>
    <row r="47" spans="3:23" x14ac:dyDescent="0.25">
      <c r="C47">
        <f t="shared" si="8"/>
        <v>82</v>
      </c>
      <c r="D47">
        <f t="shared" si="0"/>
        <v>3.5254838750435304</v>
      </c>
      <c r="E47">
        <f t="shared" si="1"/>
        <v>3.7461464270710785</v>
      </c>
      <c r="I47">
        <f t="shared" si="9"/>
        <v>82</v>
      </c>
      <c r="J47">
        <f t="shared" si="2"/>
        <v>5.4176688637314037</v>
      </c>
      <c r="K47">
        <f t="shared" si="3"/>
        <v>6.0343861183519891</v>
      </c>
      <c r="O47">
        <f t="shared" si="10"/>
        <v>82</v>
      </c>
      <c r="P47">
        <f t="shared" si="4"/>
        <v>0.93346869725177761</v>
      </c>
      <c r="Q47">
        <f t="shared" si="5"/>
        <v>2.3412971711180823</v>
      </c>
      <c r="U47">
        <f t="shared" si="11"/>
        <v>82</v>
      </c>
      <c r="V47">
        <f t="shared" si="12"/>
        <v>1.4078284738663047</v>
      </c>
      <c r="W47">
        <f t="shared" si="7"/>
        <v>2.3412971711180823</v>
      </c>
    </row>
    <row r="48" spans="3:23" x14ac:dyDescent="0.25">
      <c r="C48">
        <f t="shared" si="8"/>
        <v>84</v>
      </c>
      <c r="D48">
        <f t="shared" si="0"/>
        <v>4.1200103335712832</v>
      </c>
      <c r="E48">
        <f t="shared" si="1"/>
        <v>4.4204499431851438</v>
      </c>
      <c r="I48">
        <f t="shared" si="9"/>
        <v>84</v>
      </c>
      <c r="J48">
        <f t="shared" si="2"/>
        <v>6.2729729707069346</v>
      </c>
      <c r="K48">
        <f t="shared" si="3"/>
        <v>6.9042367734083783</v>
      </c>
      <c r="O48">
        <f t="shared" si="10"/>
        <v>84</v>
      </c>
      <c r="P48">
        <f t="shared" si="4"/>
        <v>1.840464129798665</v>
      </c>
      <c r="Q48">
        <f t="shared" si="5"/>
        <v>2.9022623763672222</v>
      </c>
      <c r="U48">
        <f t="shared" si="11"/>
        <v>84</v>
      </c>
      <c r="V48">
        <f t="shared" si="12"/>
        <v>1.0617982465685607</v>
      </c>
      <c r="W48">
        <f t="shared" si="7"/>
        <v>2.9022623763672222</v>
      </c>
    </row>
    <row r="49" spans="3:23" x14ac:dyDescent="0.25">
      <c r="C49">
        <f t="shared" si="8"/>
        <v>86</v>
      </c>
      <c r="D49">
        <f t="shared" si="0"/>
        <v>4.7628331348234951</v>
      </c>
      <c r="E49">
        <f t="shared" si="1"/>
        <v>5.1655916079844388</v>
      </c>
      <c r="I49">
        <f t="shared" si="9"/>
        <v>86</v>
      </c>
      <c r="J49">
        <f t="shared" si="2"/>
        <v>7.2020848907254198</v>
      </c>
      <c r="K49">
        <f t="shared" si="3"/>
        <v>7.8407289390160884</v>
      </c>
      <c r="O49">
        <f t="shared" si="10"/>
        <v>86</v>
      </c>
      <c r="P49">
        <f t="shared" si="4"/>
        <v>2.7481260503046876</v>
      </c>
      <c r="Q49">
        <f t="shared" si="5"/>
        <v>3.5460291924034557</v>
      </c>
      <c r="U49">
        <f t="shared" si="11"/>
        <v>86</v>
      </c>
      <c r="V49">
        <f t="shared" si="12"/>
        <v>0.79790314209876811</v>
      </c>
      <c r="W49">
        <f t="shared" si="7"/>
        <v>3.5460291924034557</v>
      </c>
    </row>
    <row r="50" spans="3:23" x14ac:dyDescent="0.25">
      <c r="C50">
        <f t="shared" si="8"/>
        <v>88</v>
      </c>
      <c r="D50">
        <f t="shared" si="0"/>
        <v>5.4499750016742645</v>
      </c>
      <c r="E50">
        <f t="shared" si="1"/>
        <v>5.9820783456536617</v>
      </c>
      <c r="I50">
        <f t="shared" si="9"/>
        <v>88</v>
      </c>
      <c r="J50">
        <f t="shared" si="2"/>
        <v>8.2040368556531327</v>
      </c>
      <c r="K50">
        <f t="shared" si="3"/>
        <v>8.842759810512085</v>
      </c>
      <c r="O50">
        <f t="shared" si="10"/>
        <v>88</v>
      </c>
      <c r="P50">
        <f t="shared" si="4"/>
        <v>3.6776517025450204</v>
      </c>
      <c r="Q50">
        <f t="shared" si="5"/>
        <v>4.2751959499044574</v>
      </c>
      <c r="U50">
        <f t="shared" si="11"/>
        <v>88</v>
      </c>
      <c r="V50">
        <f t="shared" si="12"/>
        <v>0.59754424735944056</v>
      </c>
      <c r="W50">
        <f t="shared" si="7"/>
        <v>4.2751959499044574</v>
      </c>
    </row>
    <row r="51" spans="3:23" x14ac:dyDescent="0.25">
      <c r="C51">
        <f t="shared" si="8"/>
        <v>90</v>
      </c>
      <c r="D51">
        <f t="shared" si="0"/>
        <v>6.1764010614414033</v>
      </c>
      <c r="E51">
        <f t="shared" si="1"/>
        <v>6.8698028218284577</v>
      </c>
      <c r="I51">
        <f t="shared" si="9"/>
        <v>90</v>
      </c>
      <c r="J51">
        <f t="shared" si="2"/>
        <v>9.2772954109153325</v>
      </c>
      <c r="K51">
        <f t="shared" si="3"/>
        <v>9.9088077072136755</v>
      </c>
      <c r="O51">
        <f t="shared" si="10"/>
        <v>90</v>
      </c>
      <c r="P51">
        <f t="shared" si="4"/>
        <v>4.6451551353132174</v>
      </c>
      <c r="Q51">
        <f t="shared" si="5"/>
        <v>5.0912173465288504</v>
      </c>
      <c r="U51">
        <f t="shared" si="11"/>
        <v>90</v>
      </c>
      <c r="V51">
        <f t="shared" si="12"/>
        <v>0.44606221121563472</v>
      </c>
      <c r="W51">
        <f t="shared" si="7"/>
        <v>5.0912173465288504</v>
      </c>
    </row>
    <row r="52" spans="3:23" x14ac:dyDescent="0.25">
      <c r="C52">
        <f t="shared" si="8"/>
        <v>92</v>
      </c>
      <c r="D52">
        <f t="shared" si="0"/>
        <v>6.9361070821409356</v>
      </c>
      <c r="E52">
        <f t="shared" si="1"/>
        <v>7.8280916752077871</v>
      </c>
      <c r="I52">
        <f t="shared" si="9"/>
        <v>92</v>
      </c>
      <c r="J52">
        <f t="shared" si="2"/>
        <v>10.419829542970817</v>
      </c>
      <c r="K52">
        <f t="shared" si="3"/>
        <v>11.037047791182189</v>
      </c>
      <c r="O52">
        <f t="shared" si="10"/>
        <v>92</v>
      </c>
      <c r="P52">
        <f t="shared" si="4"/>
        <v>5.662447441191631</v>
      </c>
      <c r="Q52">
        <f t="shared" si="5"/>
        <v>5.9944316423147228</v>
      </c>
      <c r="U52">
        <f t="shared" si="11"/>
        <v>92</v>
      </c>
      <c r="V52">
        <f t="shared" si="12"/>
        <v>0.33198420112309757</v>
      </c>
      <c r="W52">
        <f t="shared" si="7"/>
        <v>5.9944316423147228</v>
      </c>
    </row>
    <row r="53" spans="3:23" x14ac:dyDescent="0.25">
      <c r="C53">
        <f t="shared" si="8"/>
        <v>94</v>
      </c>
      <c r="D53">
        <f t="shared" si="0"/>
        <v>7.7221976403474244</v>
      </c>
      <c r="E53">
        <f t="shared" si="1"/>
        <v>8.8557292927959637</v>
      </c>
      <c r="I53">
        <f t="shared" si="9"/>
        <v>94</v>
      </c>
      <c r="J53">
        <f t="shared" si="2"/>
        <v>11.629183576173688</v>
      </c>
      <c r="K53">
        <f t="shared" si="3"/>
        <v>12.225370199362665</v>
      </c>
      <c r="O53">
        <f t="shared" si="10"/>
        <v>94</v>
      </c>
      <c r="P53">
        <f t="shared" si="4"/>
        <v>6.7377320863030903</v>
      </c>
      <c r="Q53">
        <f t="shared" si="5"/>
        <v>6.9841227244002368</v>
      </c>
      <c r="U53">
        <f t="shared" si="11"/>
        <v>94</v>
      </c>
      <c r="V53">
        <f t="shared" si="12"/>
        <v>0.246390638097151</v>
      </c>
      <c r="W53">
        <f t="shared" si="7"/>
        <v>6.9841227244002368</v>
      </c>
    </row>
    <row r="54" spans="3:23" x14ac:dyDescent="0.25">
      <c r="C54">
        <f t="shared" si="8"/>
        <v>96</v>
      </c>
      <c r="D54">
        <f t="shared" si="0"/>
        <v>8.5270189851010656</v>
      </c>
      <c r="E54">
        <f t="shared" si="1"/>
        <v>9.951023013199098</v>
      </c>
      <c r="I54">
        <f t="shared" si="9"/>
        <v>96</v>
      </c>
      <c r="J54">
        <f t="shared" si="2"/>
        <v>12.902552046382617</v>
      </c>
      <c r="K54">
        <f t="shared" si="3"/>
        <v>13.471452930599426</v>
      </c>
      <c r="O54">
        <f t="shared" si="10"/>
        <v>96</v>
      </c>
      <c r="P54">
        <f t="shared" si="4"/>
        <v>7.8761473459342142</v>
      </c>
      <c r="Q54">
        <f t="shared" si="5"/>
        <v>8.0585372302197129</v>
      </c>
      <c r="U54">
        <f t="shared" si="11"/>
        <v>96</v>
      </c>
      <c r="V54">
        <f t="shared" si="12"/>
        <v>0.18238988428549252</v>
      </c>
      <c r="W54">
        <f t="shared" si="7"/>
        <v>8.0585372302197129</v>
      </c>
    </row>
    <row r="55" spans="3:23" x14ac:dyDescent="0.25">
      <c r="C55">
        <f t="shared" si="8"/>
        <v>98</v>
      </c>
      <c r="D55">
        <f t="shared" si="0"/>
        <v>9.3423398162038254</v>
      </c>
      <c r="E55">
        <f t="shared" si="1"/>
        <v>11.111904643014434</v>
      </c>
      <c r="I55">
        <f t="shared" si="9"/>
        <v>98</v>
      </c>
      <c r="J55">
        <f t="shared" si="2"/>
        <v>14.236854148922966</v>
      </c>
      <c r="K55">
        <f t="shared" si="3"/>
        <v>14.772804402379435</v>
      </c>
      <c r="O55">
        <f t="shared" si="10"/>
        <v>98</v>
      </c>
      <c r="P55">
        <f t="shared" si="4"/>
        <v>9.0804154096966556</v>
      </c>
      <c r="Q55">
        <f t="shared" si="5"/>
        <v>9.2151033231011965</v>
      </c>
      <c r="U55">
        <f t="shared" si="11"/>
        <v>98</v>
      </c>
      <c r="V55">
        <f t="shared" si="12"/>
        <v>0.13468791340454045</v>
      </c>
      <c r="W55">
        <f t="shared" si="7"/>
        <v>9.2151033231011965</v>
      </c>
    </row>
    <row r="56" spans="3:23" x14ac:dyDescent="0.25">
      <c r="C56">
        <f t="shared" si="8"/>
        <v>100</v>
      </c>
      <c r="D56">
        <f t="shared" si="0"/>
        <v>10.159495500036265</v>
      </c>
      <c r="E56">
        <f t="shared" si="1"/>
        <v>12.335985932255248</v>
      </c>
      <c r="I56">
        <f t="shared" si="9"/>
        <v>100</v>
      </c>
      <c r="J56">
        <f t="shared" si="2"/>
        <v>15.628805780355108</v>
      </c>
      <c r="K56">
        <f t="shared" si="3"/>
        <v>16.126782898871141</v>
      </c>
      <c r="O56">
        <f t="shared" si="10"/>
        <v>100</v>
      </c>
      <c r="P56">
        <f t="shared" si="4"/>
        <v>10.351335855052135</v>
      </c>
      <c r="Q56">
        <f t="shared" si="5"/>
        <v>10.450575666859251</v>
      </c>
      <c r="U56">
        <f t="shared" si="11"/>
        <v>100</v>
      </c>
      <c r="V56">
        <f t="shared" si="12"/>
        <v>9.9239811807130041E-2</v>
      </c>
      <c r="W56">
        <f t="shared" si="7"/>
        <v>10.450575666859251</v>
      </c>
    </row>
    <row r="57" spans="3:23" x14ac:dyDescent="0.25">
      <c r="C57">
        <f t="shared" si="8"/>
        <v>102</v>
      </c>
      <c r="D57">
        <f t="shared" si="0"/>
        <v>10.969538675872613</v>
      </c>
      <c r="E57">
        <f t="shared" si="1"/>
        <v>13.620613431209556</v>
      </c>
      <c r="I57">
        <f t="shared" si="9"/>
        <v>102</v>
      </c>
      <c r="J57">
        <f t="shared" si="2"/>
        <v>17.074987618725515</v>
      </c>
      <c r="K57">
        <f t="shared" si="3"/>
        <v>17.530669410397522</v>
      </c>
      <c r="O57">
        <f t="shared" si="10"/>
        <v>102</v>
      </c>
      <c r="P57">
        <f t="shared" si="4"/>
        <v>11.688096001073148</v>
      </c>
      <c r="Q57">
        <f t="shared" si="5"/>
        <v>11.761066491362918</v>
      </c>
      <c r="U57">
        <f t="shared" si="11"/>
        <v>102</v>
      </c>
      <c r="V57">
        <f t="shared" si="12"/>
        <v>7.2970490289774315E-2</v>
      </c>
      <c r="W57">
        <f t="shared" si="7"/>
        <v>11.761066491362918</v>
      </c>
    </row>
    <row r="58" spans="3:23" x14ac:dyDescent="0.25">
      <c r="C58">
        <f t="shared" si="8"/>
        <v>104</v>
      </c>
      <c r="D58">
        <f t="shared" si="0"/>
        <v>11.76337222379469</v>
      </c>
      <c r="E58">
        <f t="shared" si="1"/>
        <v>14.962901395591892</v>
      </c>
      <c r="I58">
        <f t="shared" si="9"/>
        <v>104</v>
      </c>
      <c r="J58">
        <f t="shared" si="2"/>
        <v>18.571908093924165</v>
      </c>
      <c r="K58">
        <f t="shared" si="3"/>
        <v>18.98170420514311</v>
      </c>
      <c r="O58">
        <f t="shared" si="10"/>
        <v>104</v>
      </c>
      <c r="P58">
        <f t="shared" si="4"/>
        <v>13.08869744036101</v>
      </c>
      <c r="Q58">
        <f t="shared" si="5"/>
        <v>13.142250430715407</v>
      </c>
      <c r="U58">
        <f t="shared" si="11"/>
        <v>104</v>
      </c>
      <c r="V58">
        <f t="shared" si="12"/>
        <v>5.355299035440253E-2</v>
      </c>
      <c r="W58">
        <f t="shared" si="7"/>
        <v>13.142250430715407</v>
      </c>
    </row>
    <row r="59" spans="3:23" x14ac:dyDescent="0.25">
      <c r="C59">
        <f t="shared" si="8"/>
        <v>106</v>
      </c>
      <c r="D59">
        <f t="shared" si="0"/>
        <v>12.531945311607615</v>
      </c>
      <c r="E59">
        <f t="shared" si="1"/>
        <v>16.359826256359355</v>
      </c>
      <c r="I59">
        <f t="shared" si="9"/>
        <v>106</v>
      </c>
      <c r="J59">
        <f t="shared" si="2"/>
        <v>20.11603922708052</v>
      </c>
      <c r="K59">
        <f t="shared" si="3"/>
        <v>20.477119209422611</v>
      </c>
      <c r="O59">
        <f t="shared" si="10"/>
        <v>106</v>
      </c>
      <c r="P59">
        <f t="shared" si="4"/>
        <v>14.550271069811679</v>
      </c>
      <c r="Q59">
        <f t="shared" si="5"/>
        <v>14.589505105314409</v>
      </c>
      <c r="U59">
        <f t="shared" si="11"/>
        <v>106</v>
      </c>
      <c r="V59">
        <f t="shared" si="12"/>
        <v>3.9234035502730857E-2</v>
      </c>
      <c r="W59">
        <f t="shared" si="7"/>
        <v>14.589505105314409</v>
      </c>
    </row>
    <row r="60" spans="3:23" x14ac:dyDescent="0.25">
      <c r="C60">
        <f t="shared" si="8"/>
        <v>108</v>
      </c>
      <c r="D60">
        <f t="shared" si="0"/>
        <v>13.2664041504297</v>
      </c>
      <c r="E60">
        <f t="shared" si="1"/>
        <v>17.808277067122411</v>
      </c>
      <c r="I60">
        <f t="shared" si="9"/>
        <v>108</v>
      </c>
      <c r="J60">
        <f t="shared" si="2"/>
        <v>21.70386519574361</v>
      </c>
      <c r="K60">
        <f t="shared" si="3"/>
        <v>22.014166644382726</v>
      </c>
      <c r="O60">
        <f t="shared" si="10"/>
        <v>108</v>
      </c>
      <c r="P60">
        <f t="shared" si="4"/>
        <v>16.069331952799374</v>
      </c>
      <c r="Q60">
        <f t="shared" si="5"/>
        <v>16.098029800027348</v>
      </c>
      <c r="U60">
        <f t="shared" si="11"/>
        <v>108</v>
      </c>
      <c r="V60">
        <f t="shared" si="12"/>
        <v>2.8697847227957818E-2</v>
      </c>
      <c r="W60">
        <f t="shared" si="7"/>
        <v>16.098029800027348</v>
      </c>
    </row>
    <row r="61" spans="3:23" x14ac:dyDescent="0.25">
      <c r="C61">
        <f t="shared" si="8"/>
        <v>110</v>
      </c>
      <c r="D61">
        <f t="shared" si="0"/>
        <v>13.958234248517648</v>
      </c>
      <c r="E61">
        <f t="shared" si="1"/>
        <v>19.305101377490743</v>
      </c>
      <c r="I61">
        <f t="shared" si="9"/>
        <v>110</v>
      </c>
      <c r="J61">
        <f t="shared" si="2"/>
        <v>23.331960335592207</v>
      </c>
      <c r="K61">
        <f t="shared" si="3"/>
        <v>23.59014372940905</v>
      </c>
      <c r="O61">
        <f t="shared" si="10"/>
        <v>110</v>
      </c>
      <c r="P61">
        <f t="shared" si="4"/>
        <v>17.641993705861083</v>
      </c>
      <c r="Q61">
        <f t="shared" si="5"/>
        <v>17.66295430808627</v>
      </c>
      <c r="U61">
        <f t="shared" si="11"/>
        <v>110</v>
      </c>
      <c r="V61">
        <f t="shared" si="12"/>
        <v>2.0960602225188529E-2</v>
      </c>
      <c r="W61">
        <f t="shared" si="7"/>
        <v>17.66295430808627</v>
      </c>
    </row>
    <row r="62" spans="3:23" x14ac:dyDescent="0.25">
      <c r="C62">
        <f t="shared" si="8"/>
        <v>112</v>
      </c>
      <c r="D62">
        <f t="shared" si="0"/>
        <v>14.599391624734132</v>
      </c>
      <c r="E62">
        <f t="shared" si="1"/>
        <v>20.847146433976377</v>
      </c>
      <c r="I62">
        <f t="shared" si="9"/>
        <v>112</v>
      </c>
      <c r="J62">
        <f t="shared" si="2"/>
        <v>24.996992719584853</v>
      </c>
      <c r="K62">
        <f t="shared" si="3"/>
        <v>25.202413461346708</v>
      </c>
      <c r="O62">
        <f t="shared" si="10"/>
        <v>112</v>
      </c>
      <c r="P62">
        <f t="shared" si="4"/>
        <v>19.264145384865301</v>
      </c>
      <c r="Q62">
        <f t="shared" si="5"/>
        <v>19.279434562734124</v>
      </c>
      <c r="U62">
        <f t="shared" si="11"/>
        <v>112</v>
      </c>
      <c r="V62">
        <f t="shared" si="12"/>
        <v>1.5289177868834491E-2</v>
      </c>
      <c r="W62">
        <f t="shared" si="7"/>
        <v>19.279434562734124</v>
      </c>
    </row>
    <row r="63" spans="3:23" x14ac:dyDescent="0.25">
      <c r="C63">
        <f t="shared" si="8"/>
        <v>114</v>
      </c>
      <c r="D63">
        <f t="shared" si="0"/>
        <v>15.18242030096107</v>
      </c>
      <c r="E63">
        <f t="shared" si="1"/>
        <v>22.431295173101674</v>
      </c>
      <c r="I63">
        <f t="shared" si="9"/>
        <v>114</v>
      </c>
      <c r="J63">
        <f t="shared" si="2"/>
        <v>26.695757321723946</v>
      </c>
      <c r="K63">
        <f t="shared" si="3"/>
        <v>26.848421618338961</v>
      </c>
      <c r="O63">
        <f t="shared" si="10"/>
        <v>114</v>
      </c>
      <c r="P63">
        <f t="shared" si="4"/>
        <v>20.931594361997682</v>
      </c>
      <c r="Q63">
        <f t="shared" si="5"/>
        <v>20.942733337089436</v>
      </c>
      <c r="U63">
        <f t="shared" si="11"/>
        <v>114</v>
      </c>
      <c r="V63">
        <f t="shared" si="12"/>
        <v>1.1138975091760012E-2</v>
      </c>
      <c r="W63">
        <f t="shared" si="7"/>
        <v>20.942733337089436</v>
      </c>
    </row>
    <row r="64" spans="3:23" x14ac:dyDescent="0.25">
      <c r="C64">
        <f t="shared" si="8"/>
        <v>116</v>
      </c>
      <c r="D64">
        <f t="shared" si="0"/>
        <v>15.700554093303531</v>
      </c>
      <c r="E64">
        <f t="shared" si="1"/>
        <v>24.054496820181541</v>
      </c>
      <c r="I64">
        <f t="shared" si="9"/>
        <v>116</v>
      </c>
      <c r="J64">
        <f t="shared" si="2"/>
        <v>28.425218103186594</v>
      </c>
      <c r="K64">
        <f t="shared" si="3"/>
        <v>28.525710230885281</v>
      </c>
      <c r="O64">
        <f t="shared" si="10"/>
        <v>116</v>
      </c>
      <c r="P64">
        <f t="shared" si="4"/>
        <v>22.64017894187684</v>
      </c>
      <c r="Q64">
        <f t="shared" si="5"/>
        <v>22.64828554480178</v>
      </c>
      <c r="U64">
        <f t="shared" si="11"/>
        <v>116</v>
      </c>
      <c r="V64">
        <f t="shared" si="12"/>
        <v>8.106602924941253E-3</v>
      </c>
      <c r="W64">
        <f t="shared" si="7"/>
        <v>22.64828554480178</v>
      </c>
    </row>
    <row r="65" spans="3:23" x14ac:dyDescent="0.25">
      <c r="C65">
        <f t="shared" si="8"/>
        <v>118</v>
      </c>
      <c r="D65">
        <f t="shared" si="0"/>
        <v>16.14780136615758</v>
      </c>
      <c r="E65">
        <f t="shared" si="1"/>
        <v>25.713792162746259</v>
      </c>
      <c r="I65">
        <f t="shared" si="9"/>
        <v>118</v>
      </c>
      <c r="J65">
        <f t="shared" si="2"/>
        <v>30.18248344261427</v>
      </c>
      <c r="K65">
        <f t="shared" si="3"/>
        <v>30.231927821207393</v>
      </c>
      <c r="O65">
        <f t="shared" si="10"/>
        <v>118</v>
      </c>
      <c r="P65">
        <f t="shared" si="4"/>
        <v>24.38585452808104</v>
      </c>
      <c r="Q65">
        <f t="shared" si="5"/>
        <v>24.391748582890116</v>
      </c>
      <c r="U65">
        <f t="shared" si="11"/>
        <v>118</v>
      </c>
      <c r="V65">
        <f t="shared" si="12"/>
        <v>5.8940548090905681E-3</v>
      </c>
      <c r="W65">
        <f t="shared" si="7"/>
        <v>24.391748582890116</v>
      </c>
    </row>
    <row r="66" spans="3:23" x14ac:dyDescent="0.25">
      <c r="C66">
        <f t="shared" si="8"/>
        <v>120</v>
      </c>
      <c r="D66">
        <f t="shared" si="0"/>
        <v>16.51901200045166</v>
      </c>
      <c r="E66">
        <f t="shared" si="1"/>
        <v>27.406333748209235</v>
      </c>
      <c r="I66">
        <f t="shared" si="9"/>
        <v>120</v>
      </c>
      <c r="J66">
        <f t="shared" si="2"/>
        <v>31.964836743664051</v>
      </c>
      <c r="K66">
        <f t="shared" si="3"/>
        <v>31.964836743664051</v>
      </c>
      <c r="O66">
        <f t="shared" si="10"/>
        <v>120</v>
      </c>
      <c r="P66">
        <f t="shared" si="4"/>
        <v>26.164757070348699</v>
      </c>
      <c r="Q66">
        <f t="shared" si="5"/>
        <v>26.169038781674956</v>
      </c>
      <c r="U66">
        <f t="shared" si="11"/>
        <v>120</v>
      </c>
      <c r="V66">
        <f t="shared" si="12"/>
        <v>4.2817113262532958E-3</v>
      </c>
      <c r="W66">
        <f t="shared" si="7"/>
        <v>26.169038781674956</v>
      </c>
    </row>
    <row r="67" spans="3:23" x14ac:dyDescent="0.25">
      <c r="C67">
        <f t="shared" si="8"/>
        <v>122</v>
      </c>
      <c r="D67">
        <f t="shared" si="0"/>
        <v>16.809926355390097</v>
      </c>
      <c r="E67">
        <f t="shared" si="1"/>
        <v>29.129401376492069</v>
      </c>
      <c r="I67">
        <f t="shared" si="9"/>
        <v>122</v>
      </c>
      <c r="J67">
        <f t="shared" si="2"/>
        <v>33.769746990707347</v>
      </c>
      <c r="K67">
        <f t="shared" si="3"/>
        <v>33.722317970555849</v>
      </c>
      <c r="O67">
        <f t="shared" si="10"/>
        <v>122</v>
      </c>
      <c r="P67">
        <f t="shared" si="4"/>
        <v>27.973247337348454</v>
      </c>
      <c r="Q67">
        <f t="shared" si="5"/>
        <v>27.976355418307165</v>
      </c>
      <c r="U67">
        <f t="shared" si="11"/>
        <v>122</v>
      </c>
      <c r="V67">
        <f t="shared" si="12"/>
        <v>3.108080958720609E-3</v>
      </c>
      <c r="W67">
        <f t="shared" si="7"/>
        <v>27.976355418307165</v>
      </c>
    </row>
    <row r="68" spans="3:23" x14ac:dyDescent="0.25">
      <c r="C68">
        <f t="shared" si="8"/>
        <v>124</v>
      </c>
      <c r="D68">
        <f t="shared" si="0"/>
        <v>17.017206469234445</v>
      </c>
      <c r="E68">
        <f t="shared" si="1"/>
        <v>30.880413332659927</v>
      </c>
      <c r="I68">
        <f t="shared" si="9"/>
        <v>124</v>
      </c>
      <c r="J68">
        <f t="shared" si="2"/>
        <v>35.594869842325764</v>
      </c>
      <c r="K68">
        <f t="shared" si="3"/>
        <v>35.502373664620819</v>
      </c>
      <c r="O68">
        <f t="shared" si="10"/>
        <v>124</v>
      </c>
      <c r="P68">
        <f t="shared" si="4"/>
        <v>29.807939302339037</v>
      </c>
      <c r="Q68">
        <f t="shared" si="5"/>
        <v>29.810193958535777</v>
      </c>
      <c r="U68">
        <f t="shared" si="11"/>
        <v>124</v>
      </c>
      <c r="V68">
        <f t="shared" si="12"/>
        <v>2.2546561967403747E-3</v>
      </c>
      <c r="W68">
        <f t="shared" si="7"/>
        <v>29.810193958535777</v>
      </c>
    </row>
    <row r="69" spans="3:23" x14ac:dyDescent="0.25">
      <c r="C69">
        <f t="shared" si="8"/>
        <v>126</v>
      </c>
      <c r="D69">
        <f t="shared" si="0"/>
        <v>17.138450146957233</v>
      </c>
      <c r="E69">
        <f t="shared" si="1"/>
        <v>32.656933842815377</v>
      </c>
      <c r="I69">
        <f t="shared" si="9"/>
        <v>126</v>
      </c>
      <c r="J69">
        <f t="shared" si="2"/>
        <v>37.438045833066028</v>
      </c>
      <c r="K69">
        <f t="shared" si="3"/>
        <v>37.303127866125578</v>
      </c>
      <c r="O69">
        <f t="shared" si="10"/>
        <v>126</v>
      </c>
      <c r="P69">
        <f t="shared" si="4"/>
        <v>31.665715625575757</v>
      </c>
      <c r="Q69">
        <f t="shared" si="5"/>
        <v>31.667350259166653</v>
      </c>
      <c r="U69">
        <f t="shared" si="11"/>
        <v>126</v>
      </c>
      <c r="V69">
        <f t="shared" si="12"/>
        <v>1.6346335908941807E-3</v>
      </c>
      <c r="W69">
        <f t="shared" si="7"/>
        <v>31.667350259166653</v>
      </c>
    </row>
    <row r="70" spans="3:23" x14ac:dyDescent="0.25">
      <c r="C70">
        <f t="shared" si="8"/>
        <v>128</v>
      </c>
      <c r="D70">
        <f t="shared" si="0"/>
        <v>17.172188919869726</v>
      </c>
      <c r="E70">
        <f t="shared" si="1"/>
        <v>34.456677247345226</v>
      </c>
      <c r="I70">
        <f t="shared" si="9"/>
        <v>128</v>
      </c>
      <c r="J70">
        <f t="shared" si="2"/>
        <v>39.29729800497266</v>
      </c>
      <c r="K70">
        <f t="shared" si="3"/>
        <v>39.122825602078535</v>
      </c>
      <c r="O70">
        <f t="shared" si="10"/>
        <v>128</v>
      </c>
      <c r="P70">
        <f t="shared" si="4"/>
        <v>33.543732889431212</v>
      </c>
      <c r="Q70">
        <f t="shared" si="5"/>
        <v>33.544917428575488</v>
      </c>
      <c r="U70">
        <f t="shared" si="11"/>
        <v>128</v>
      </c>
      <c r="V70">
        <f t="shared" si="12"/>
        <v>1.184539144278754E-3</v>
      </c>
      <c r="W70">
        <f t="shared" si="7"/>
        <v>33.544917428575488</v>
      </c>
    </row>
    <row r="71" spans="3:23" x14ac:dyDescent="0.25">
      <c r="C71">
        <f t="shared" si="8"/>
        <v>130</v>
      </c>
      <c r="D71">
        <f t="shared" ref="D71:D106" si="13">Up_And_Out_Call(C71,$B$11,$B$6,$B$7,$B$8,$B$9,$B$10)</f>
        <v>17.117871134714036</v>
      </c>
      <c r="E71">
        <f t="shared" ref="E71:E106" si="14">Vanilla_Call(C71,$B$11,$B$6,$B$7,$B$8,$B$9)</f>
        <v>36.277509376340831</v>
      </c>
      <c r="I71">
        <f t="shared" si="9"/>
        <v>130</v>
      </c>
      <c r="J71">
        <f t="shared" ref="J71:J106" si="15">Up_And_In_Call(I71,$H$11,$H$6,$H$7,$H$8,$H$9,$H$10)</f>
        <v>41.170841753366375</v>
      </c>
      <c r="K71">
        <f t="shared" ref="K71:K106" si="16">Vanilla_Call(I71,$H$11,$H$6,$H$7,$H$8,$H$9)</f>
        <v>40.959830700348505</v>
      </c>
      <c r="O71">
        <f t="shared" si="10"/>
        <v>130</v>
      </c>
      <c r="P71">
        <f t="shared" ref="P71:P106" si="17">Down_And_Out_Call(O71,$N$11,$N$6,$N$7,$N$8,$N$9,$N$10)</f>
        <v>35.439418907086051</v>
      </c>
      <c r="Q71">
        <f t="shared" ref="Q71:Q106" si="18">Vanilla_Call(O71,$N$11,$N$6,$N$7,$N$8,$N$9)</f>
        <v>35.440276936253937</v>
      </c>
      <c r="U71">
        <f t="shared" si="11"/>
        <v>130</v>
      </c>
      <c r="V71">
        <f t="shared" si="12"/>
        <v>8.5802916789002107E-4</v>
      </c>
      <c r="W71">
        <f t="shared" ref="W71:W106" si="19">Vanilla_Call(U71,$T$11,$T$6,$T$7,$T$8,$T$9)</f>
        <v>35.440276936253937</v>
      </c>
    </row>
    <row r="72" spans="3:23" x14ac:dyDescent="0.25">
      <c r="C72">
        <f t="shared" si="8"/>
        <v>132</v>
      </c>
      <c r="D72">
        <f t="shared" si="13"/>
        <v>16.97583163874117</v>
      </c>
      <c r="E72">
        <f t="shared" si="14"/>
        <v>38.117446588502602</v>
      </c>
      <c r="I72">
        <f t="shared" si="9"/>
        <v>132</v>
      </c>
      <c r="J72">
        <f t="shared" si="15"/>
        <v>43.057050779300496</v>
      </c>
      <c r="K72">
        <f t="shared" si="16"/>
        <v>42.812622564374095</v>
      </c>
      <c r="O72">
        <f t="shared" si="10"/>
        <v>132</v>
      </c>
      <c r="P72">
        <f t="shared" si="17"/>
        <v>37.35046409670403</v>
      </c>
      <c r="Q72">
        <f t="shared" si="18"/>
        <v>37.351085410610892</v>
      </c>
      <c r="U72">
        <f t="shared" si="11"/>
        <v>132</v>
      </c>
      <c r="V72">
        <f t="shared" si="12"/>
        <v>6.2131390686518718E-4</v>
      </c>
      <c r="W72">
        <f t="shared" si="19"/>
        <v>37.351085410610892</v>
      </c>
    </row>
    <row r="73" spans="3:23" x14ac:dyDescent="0.25">
      <c r="C73">
        <f t="shared" ref="C73:C136" si="20">C72+$C$7</f>
        <v>134</v>
      </c>
      <c r="D73">
        <f t="shared" si="13"/>
        <v>16.747249675780786</v>
      </c>
      <c r="E73">
        <f t="shared" si="14"/>
        <v>39.97465290180908</v>
      </c>
      <c r="I73">
        <f t="shared" ref="I73:I106" si="21">I72+$I$7</f>
        <v>134</v>
      </c>
      <c r="J73">
        <f t="shared" si="15"/>
        <v>44.954454989861588</v>
      </c>
      <c r="K73">
        <f t="shared" si="16"/>
        <v>44.679792136205123</v>
      </c>
      <c r="O73">
        <f t="shared" ref="O73:O106" si="22">O72+$O$7</f>
        <v>134</v>
      </c>
      <c r="P73">
        <f t="shared" si="17"/>
        <v>39.274808600218336</v>
      </c>
      <c r="Q73">
        <f t="shared" si="18"/>
        <v>39.275258387699665</v>
      </c>
      <c r="U73">
        <f t="shared" ref="U73:U106" si="23">U72+$O$7</f>
        <v>134</v>
      </c>
      <c r="V73">
        <f t="shared" si="12"/>
        <v>4.4978748130650864E-4</v>
      </c>
      <c r="W73">
        <f t="shared" si="19"/>
        <v>39.275258387699665</v>
      </c>
    </row>
    <row r="74" spans="3:23" x14ac:dyDescent="0.25">
      <c r="C74">
        <f t="shared" si="20"/>
        <v>136</v>
      </c>
      <c r="D74">
        <f t="shared" si="13"/>
        <v>16.434096700255346</v>
      </c>
      <c r="E74">
        <f t="shared" si="14"/>
        <v>41.847435605420387</v>
      </c>
      <c r="I74">
        <f t="shared" si="21"/>
        <v>136</v>
      </c>
      <c r="J74">
        <f t="shared" si="15"/>
        <v>46.861738223480828</v>
      </c>
      <c r="K74">
        <f t="shared" si="16"/>
        <v>46.560037247935639</v>
      </c>
      <c r="O74">
        <f t="shared" si="22"/>
        <v>136</v>
      </c>
      <c r="P74">
        <f t="shared" si="17"/>
        <v>41.210626536209503</v>
      </c>
      <c r="Q74">
        <f t="shared" si="18"/>
        <v>41.210952087951569</v>
      </c>
      <c r="U74">
        <f t="shared" si="23"/>
        <v>136</v>
      </c>
      <c r="V74">
        <f t="shared" si="12"/>
        <v>3.2555174208144695E-4</v>
      </c>
      <c r="W74">
        <f t="shared" si="19"/>
        <v>41.210952087951569</v>
      </c>
    </row>
    <row r="75" spans="3:23" x14ac:dyDescent="0.25">
      <c r="C75">
        <f t="shared" si="20"/>
        <v>138</v>
      </c>
      <c r="D75">
        <f t="shared" si="13"/>
        <v>16.039075856445201</v>
      </c>
      <c r="E75">
        <f t="shared" si="14"/>
        <v>43.734239700580005</v>
      </c>
      <c r="I75">
        <f t="shared" si="21"/>
        <v>138</v>
      </c>
      <c r="J75">
        <f t="shared" si="15"/>
        <v>48.777727425659918</v>
      </c>
      <c r="K75">
        <f t="shared" si="16"/>
        <v>48.452157534960293</v>
      </c>
      <c r="O75">
        <f t="shared" si="22"/>
        <v>138</v>
      </c>
      <c r="P75">
        <f t="shared" si="17"/>
        <v>43.156308514259024</v>
      </c>
      <c r="Q75">
        <f t="shared" si="18"/>
        <v>43.156544114907334</v>
      </c>
      <c r="U75">
        <f t="shared" si="23"/>
        <v>138</v>
      </c>
      <c r="V75">
        <f t="shared" si="12"/>
        <v>2.3560064830833831E-4</v>
      </c>
      <c r="W75">
        <f t="shared" si="19"/>
        <v>43.156544114907334</v>
      </c>
    </row>
    <row r="76" spans="3:23" x14ac:dyDescent="0.25">
      <c r="C76">
        <f t="shared" si="20"/>
        <v>140</v>
      </c>
      <c r="D76">
        <f t="shared" si="13"/>
        <v>15.565554864762355</v>
      </c>
      <c r="E76">
        <f t="shared" si="14"/>
        <v>45.633641475874171</v>
      </c>
      <c r="I76">
        <f t="shared" si="21"/>
        <v>140</v>
      </c>
      <c r="J76">
        <f t="shared" si="15"/>
        <v>50.70136896730655</v>
      </c>
      <c r="K76">
        <f t="shared" si="16"/>
        <v>50.355049059440049</v>
      </c>
      <c r="O76">
        <f t="shared" si="22"/>
        <v>140</v>
      </c>
      <c r="P76">
        <f t="shared" si="17"/>
        <v>45.110443305897974</v>
      </c>
      <c r="Q76">
        <f t="shared" si="18"/>
        <v>45.110613797337336</v>
      </c>
      <c r="U76">
        <f t="shared" si="23"/>
        <v>140</v>
      </c>
      <c r="V76">
        <f t="shared" si="12"/>
        <v>1.7049143938126796E-4</v>
      </c>
      <c r="W76">
        <f t="shared" si="19"/>
        <v>45.110613797337336</v>
      </c>
    </row>
    <row r="77" spans="3:23" x14ac:dyDescent="0.25">
      <c r="C77">
        <f t="shared" si="20"/>
        <v>142</v>
      </c>
      <c r="D77">
        <f t="shared" si="13"/>
        <v>15.017494011500204</v>
      </c>
      <c r="E77">
        <f t="shared" si="14"/>
        <v>47.544341480711552</v>
      </c>
      <c r="I77">
        <f t="shared" si="21"/>
        <v>142</v>
      </c>
      <c r="J77">
        <f t="shared" si="15"/>
        <v>52.631731620145771</v>
      </c>
      <c r="K77">
        <f t="shared" si="16"/>
        <v>52.267698769243282</v>
      </c>
      <c r="O77">
        <f t="shared" si="22"/>
        <v>142</v>
      </c>
      <c r="P77">
        <f t="shared" si="17"/>
        <v>47.071799365398888</v>
      </c>
      <c r="Q77">
        <f t="shared" si="18"/>
        <v>47.071922739117227</v>
      </c>
      <c r="U77">
        <f t="shared" si="23"/>
        <v>142</v>
      </c>
      <c r="V77">
        <f t="shared" ref="V77:V106" si="24">Down_And_In_Call(U77,$T$11,$T$6,$T$7,$T$8,$T$9,$T$10)</f>
        <v>1.233737183490213E-4</v>
      </c>
      <c r="W77">
        <f t="shared" si="19"/>
        <v>47.071922739117227</v>
      </c>
    </row>
    <row r="78" spans="3:23" x14ac:dyDescent="0.25">
      <c r="C78">
        <f t="shared" si="20"/>
        <v>144</v>
      </c>
      <c r="D78">
        <f t="shared" si="13"/>
        <v>14.399370859885217</v>
      </c>
      <c r="E78">
        <f t="shared" si="14"/>
        <v>49.465157121431915</v>
      </c>
      <c r="I78">
        <f t="shared" si="21"/>
        <v>144</v>
      </c>
      <c r="J78">
        <f t="shared" si="15"/>
        <v>54.568002925681938</v>
      </c>
      <c r="K78">
        <f t="shared" si="16"/>
        <v>54.189178896608823</v>
      </c>
      <c r="O78">
        <f t="shared" si="22"/>
        <v>144</v>
      </c>
      <c r="P78">
        <f t="shared" si="17"/>
        <v>49.039306721444405</v>
      </c>
      <c r="Q78">
        <f t="shared" si="18"/>
        <v>49.03939600256588</v>
      </c>
      <c r="U78">
        <f t="shared" si="23"/>
        <v>144</v>
      </c>
      <c r="V78">
        <f t="shared" si="24"/>
        <v>8.9281121494306018E-5</v>
      </c>
      <c r="W78">
        <f t="shared" si="19"/>
        <v>49.03939600256588</v>
      </c>
    </row>
    <row r="79" spans="3:23" x14ac:dyDescent="0.25">
      <c r="C79">
        <f t="shared" si="20"/>
        <v>146</v>
      </c>
      <c r="D79">
        <f t="shared" si="13"/>
        <v>13.716103194684088</v>
      </c>
      <c r="E79">
        <f t="shared" si="14"/>
        <v>51.395015067795867</v>
      </c>
      <c r="I79">
        <f t="shared" si="21"/>
        <v>146</v>
      </c>
      <c r="J79">
        <f t="shared" si="15"/>
        <v>56.50946844119575</v>
      </c>
      <c r="K79">
        <f t="shared" si="16"/>
        <v>56.118641381933287</v>
      </c>
      <c r="O79">
        <f t="shared" si="22"/>
        <v>146</v>
      </c>
      <c r="P79">
        <f t="shared" si="17"/>
        <v>51.012039616465998</v>
      </c>
      <c r="Q79">
        <f t="shared" si="18"/>
        <v>51.012104231728514</v>
      </c>
      <c r="U79">
        <f t="shared" si="23"/>
        <v>146</v>
      </c>
      <c r="V79">
        <f t="shared" si="24"/>
        <v>6.4615262535102237E-5</v>
      </c>
      <c r="W79">
        <f t="shared" si="19"/>
        <v>51.012104231728514</v>
      </c>
    </row>
    <row r="80" spans="3:23" x14ac:dyDescent="0.25">
      <c r="C80">
        <f t="shared" si="20"/>
        <v>148</v>
      </c>
      <c r="D80">
        <f t="shared" si="13"/>
        <v>12.97297158634175</v>
      </c>
      <c r="E80">
        <f t="shared" si="14"/>
        <v>53.332943624198563</v>
      </c>
      <c r="I80">
        <f t="shared" si="21"/>
        <v>148</v>
      </c>
      <c r="J80">
        <f t="shared" si="15"/>
        <v>58.455502418805636</v>
      </c>
      <c r="K80">
        <f t="shared" si="16"/>
        <v>58.055312391396001</v>
      </c>
      <c r="O80">
        <f t="shared" si="22"/>
        <v>148</v>
      </c>
      <c r="P80">
        <f t="shared" si="17"/>
        <v>52.989200151864353</v>
      </c>
      <c r="Q80">
        <f t="shared" si="18"/>
        <v>52.989246922083652</v>
      </c>
      <c r="U80">
        <f t="shared" si="23"/>
        <v>148</v>
      </c>
      <c r="V80">
        <f t="shared" si="24"/>
        <v>4.6770219274812732E-5</v>
      </c>
      <c r="W80">
        <f t="shared" si="19"/>
        <v>52.989246922083652</v>
      </c>
    </row>
    <row r="81" spans="3:23" x14ac:dyDescent="0.25">
      <c r="C81">
        <f t="shared" si="20"/>
        <v>150</v>
      </c>
      <c r="D81">
        <f t="shared" si="13"/>
        <v>12.175542819544745</v>
      </c>
      <c r="E81">
        <f t="shared" si="14"/>
        <v>55.278065190010182</v>
      </c>
      <c r="I81">
        <f t="shared" si="21"/>
        <v>150</v>
      </c>
      <c r="J81">
        <f t="shared" si="15"/>
        <v>60.40555931838432</v>
      </c>
      <c r="K81">
        <f t="shared" si="16"/>
        <v>59.998486982522451</v>
      </c>
      <c r="O81">
        <f t="shared" si="22"/>
        <v>150</v>
      </c>
      <c r="P81">
        <f t="shared" si="17"/>
        <v>54.970103101731027</v>
      </c>
      <c r="Q81">
        <f t="shared" si="18"/>
        <v>54.970136961317095</v>
      </c>
      <c r="U81">
        <f t="shared" si="23"/>
        <v>150</v>
      </c>
      <c r="V81">
        <f t="shared" si="24"/>
        <v>3.3859586080071317E-5</v>
      </c>
      <c r="W81">
        <f t="shared" si="19"/>
        <v>54.970136961317095</v>
      </c>
    </row>
    <row r="82" spans="3:23" x14ac:dyDescent="0.25">
      <c r="C82">
        <f t="shared" si="20"/>
        <v>152</v>
      </c>
      <c r="D82">
        <f t="shared" si="13"/>
        <v>11.329595280651951</v>
      </c>
      <c r="E82">
        <f t="shared" si="14"/>
        <v>57.229588907018922</v>
      </c>
      <c r="I82">
        <f t="shared" si="21"/>
        <v>152</v>
      </c>
      <c r="J82">
        <f t="shared" si="15"/>
        <v>62.359165666522387</v>
      </c>
      <c r="K82">
        <f t="shared" si="16"/>
        <v>61.947523959136632</v>
      </c>
      <c r="O82">
        <f t="shared" si="22"/>
        <v>152</v>
      </c>
      <c r="P82">
        <f t="shared" si="17"/>
        <v>56.954161982248948</v>
      </c>
      <c r="Q82">
        <f t="shared" si="18"/>
        <v>56.95418650051937</v>
      </c>
      <c r="U82">
        <f t="shared" si="23"/>
        <v>152</v>
      </c>
      <c r="V82">
        <f t="shared" si="24"/>
        <v>2.4518270436627151E-5</v>
      </c>
      <c r="W82">
        <f t="shared" si="19"/>
        <v>56.95418650051937</v>
      </c>
    </row>
    <row r="83" spans="3:23" x14ac:dyDescent="0.25">
      <c r="C83">
        <f t="shared" si="20"/>
        <v>154</v>
      </c>
      <c r="D83">
        <f t="shared" si="13"/>
        <v>10.441047243493138</v>
      </c>
      <c r="E83">
        <f t="shared" si="14"/>
        <v>59.186803568953508</v>
      </c>
      <c r="I83">
        <f t="shared" si="21"/>
        <v>154</v>
      </c>
      <c r="J83">
        <f t="shared" si="15"/>
        <v>64.315909538437907</v>
      </c>
      <c r="K83">
        <f t="shared" si="16"/>
        <v>63.901840946316213</v>
      </c>
      <c r="O83">
        <f t="shared" si="22"/>
        <v>154</v>
      </c>
      <c r="P83">
        <f t="shared" si="17"/>
        <v>58.940876405836633</v>
      </c>
      <c r="Q83">
        <f t="shared" si="18"/>
        <v>58.940894164525602</v>
      </c>
      <c r="U83">
        <f t="shared" si="23"/>
        <v>154</v>
      </c>
      <c r="V83">
        <f t="shared" si="24"/>
        <v>1.7758688992380119E-5</v>
      </c>
      <c r="W83">
        <f t="shared" si="19"/>
        <v>58.940894164525602</v>
      </c>
    </row>
    <row r="84" spans="3:23" x14ac:dyDescent="0.25">
      <c r="C84">
        <f t="shared" si="20"/>
        <v>156</v>
      </c>
      <c r="D84">
        <f t="shared" si="13"/>
        <v>9.5158888378818567</v>
      </c>
      <c r="E84">
        <f t="shared" si="14"/>
        <v>61.149070848319454</v>
      </c>
      <c r="I84">
        <f t="shared" si="21"/>
        <v>156</v>
      </c>
      <c r="J84">
        <f t="shared" si="15"/>
        <v>66.27542816054509</v>
      </c>
      <c r="K84">
        <f t="shared" si="16"/>
        <v>65.860909706782707</v>
      </c>
      <c r="O84">
        <f t="shared" si="22"/>
        <v>156</v>
      </c>
      <c r="P84">
        <f t="shared" si="17"/>
        <v>60.929820705608194</v>
      </c>
      <c r="Q84">
        <f t="shared" si="18"/>
        <v>60.929833572118952</v>
      </c>
      <c r="U84">
        <f t="shared" si="23"/>
        <v>156</v>
      </c>
      <c r="V84">
        <f t="shared" si="24"/>
        <v>1.2866510759960092E-5</v>
      </c>
      <c r="W84">
        <f t="shared" si="19"/>
        <v>60.929833572118952</v>
      </c>
    </row>
    <row r="85" spans="3:23" x14ac:dyDescent="0.25">
      <c r="C85">
        <f t="shared" si="20"/>
        <v>158</v>
      </c>
      <c r="D85">
        <f t="shared" si="13"/>
        <v>8.5601183334610518</v>
      </c>
      <c r="E85">
        <f t="shared" si="14"/>
        <v>63.115818879065728</v>
      </c>
      <c r="I85">
        <f t="shared" si="21"/>
        <v>158</v>
      </c>
      <c r="J85">
        <f t="shared" si="15"/>
        <v>68.237416426754081</v>
      </c>
      <c r="K85">
        <f t="shared" si="16"/>
        <v>67.824251712472829</v>
      </c>
      <c r="O85">
        <f t="shared" si="22"/>
        <v>158</v>
      </c>
      <c r="P85">
        <f t="shared" si="17"/>
        <v>62.920633784341362</v>
      </c>
      <c r="Q85">
        <f t="shared" si="18"/>
        <v>62.920643109462247</v>
      </c>
      <c r="U85">
        <f t="shared" si="23"/>
        <v>158</v>
      </c>
      <c r="V85">
        <f t="shared" si="24"/>
        <v>9.3251208843982451E-6</v>
      </c>
      <c r="W85">
        <f t="shared" si="19"/>
        <v>62.920643109462247</v>
      </c>
    </row>
    <row r="86" spans="3:23" x14ac:dyDescent="0.25">
      <c r="C86">
        <f t="shared" si="20"/>
        <v>160</v>
      </c>
      <c r="D86">
        <f t="shared" si="13"/>
        <v>7.5796832261927882</v>
      </c>
      <c r="E86">
        <f t="shared" si="14"/>
        <v>65.086536219636173</v>
      </c>
      <c r="I86">
        <f t="shared" si="21"/>
        <v>160</v>
      </c>
      <c r="J86">
        <f t="shared" si="15"/>
        <v>70.201613247221275</v>
      </c>
      <c r="K86">
        <f t="shared" si="16"/>
        <v>69.791433978673837</v>
      </c>
      <c r="O86">
        <f t="shared" si="22"/>
        <v>160</v>
      </c>
      <c r="P86">
        <f t="shared" si="17"/>
        <v>64.913010120620896</v>
      </c>
      <c r="Q86">
        <f t="shared" si="18"/>
        <v>64.913016881544621</v>
      </c>
      <c r="U86">
        <f t="shared" si="23"/>
        <v>160</v>
      </c>
      <c r="V86">
        <f t="shared" si="24"/>
        <v>6.7609236953522446E-6</v>
      </c>
      <c r="W86">
        <f t="shared" si="19"/>
        <v>64.913016881544621</v>
      </c>
    </row>
    <row r="87" spans="3:23" x14ac:dyDescent="0.25">
      <c r="C87">
        <f t="shared" si="20"/>
        <v>162</v>
      </c>
      <c r="D87">
        <f t="shared" si="13"/>
        <v>6.5804302239857435</v>
      </c>
      <c r="E87">
        <f t="shared" si="14"/>
        <v>67.060766209475759</v>
      </c>
      <c r="I87">
        <f t="shared" si="21"/>
        <v>162</v>
      </c>
      <c r="J87">
        <f t="shared" si="15"/>
        <v>72.167794221461506</v>
      </c>
      <c r="K87">
        <f t="shared" si="16"/>
        <v>71.762065162917111</v>
      </c>
      <c r="O87">
        <f t="shared" si="22"/>
        <v>162</v>
      </c>
      <c r="P87">
        <f t="shared" si="17"/>
        <v>66.906691851157845</v>
      </c>
      <c r="Q87">
        <f t="shared" si="18"/>
        <v>66.906696754912318</v>
      </c>
      <c r="U87">
        <f t="shared" si="23"/>
        <v>162</v>
      </c>
      <c r="V87">
        <f t="shared" si="24"/>
        <v>4.9037544638545267E-6</v>
      </c>
      <c r="W87">
        <f t="shared" si="19"/>
        <v>66.906696754912318</v>
      </c>
    </row>
    <row r="88" spans="3:23" x14ac:dyDescent="0.25">
      <c r="C88">
        <f t="shared" si="20"/>
        <v>164</v>
      </c>
      <c r="D88">
        <f t="shared" si="13"/>
        <v>5.5680822039819091</v>
      </c>
      <c r="E88">
        <f t="shared" si="14"/>
        <v>69.038101722763784</v>
      </c>
      <c r="I88">
        <f t="shared" si="21"/>
        <v>164</v>
      </c>
      <c r="J88">
        <f t="shared" si="15"/>
        <v>74.135766850631583</v>
      </c>
      <c r="K88">
        <f t="shared" si="16"/>
        <v>73.735791926652993</v>
      </c>
      <c r="O88">
        <f t="shared" si="22"/>
        <v>164</v>
      </c>
      <c r="P88">
        <f t="shared" si="17"/>
        <v>68.901461840759367</v>
      </c>
      <c r="Q88">
        <f t="shared" si="18"/>
        <v>68.901465398997018</v>
      </c>
      <c r="U88">
        <f t="shared" si="23"/>
        <v>164</v>
      </c>
      <c r="V88">
        <f t="shared" si="24"/>
        <v>3.5582376763083445E-6</v>
      </c>
      <c r="W88">
        <f t="shared" si="19"/>
        <v>68.901465398997018</v>
      </c>
    </row>
    <row r="89" spans="3:23" x14ac:dyDescent="0.25">
      <c r="C89">
        <f t="shared" si="20"/>
        <v>166</v>
      </c>
      <c r="D89">
        <f t="shared" si="13"/>
        <v>4.5481543636453434</v>
      </c>
      <c r="E89">
        <f t="shared" si="14"/>
        <v>71.018180315764411</v>
      </c>
      <c r="I89">
        <f t="shared" si="21"/>
        <v>166</v>
      </c>
      <c r="J89">
        <f t="shared" si="15"/>
        <v>76.105366758071611</v>
      </c>
      <c r="K89">
        <f t="shared" si="16"/>
        <v>75.712295554442534</v>
      </c>
      <c r="O89">
        <f t="shared" si="22"/>
        <v>166</v>
      </c>
      <c r="P89">
        <f t="shared" si="17"/>
        <v>70.897137648581449</v>
      </c>
      <c r="Q89">
        <f t="shared" si="18"/>
        <v>70.897140231652955</v>
      </c>
      <c r="U89">
        <f t="shared" si="23"/>
        <v>166</v>
      </c>
      <c r="V89">
        <f t="shared" si="24"/>
        <v>2.5830714963266801E-6</v>
      </c>
      <c r="W89">
        <f t="shared" si="19"/>
        <v>70.897140231652955</v>
      </c>
    </row>
    <row r="90" spans="3:23" x14ac:dyDescent="0.25">
      <c r="C90">
        <f t="shared" si="20"/>
        <v>168</v>
      </c>
      <c r="D90">
        <f t="shared" si="13"/>
        <v>3.5259277463748049</v>
      </c>
      <c r="E90">
        <f t="shared" si="14"/>
        <v>73.000679758451156</v>
      </c>
      <c r="I90">
        <f t="shared" si="21"/>
        <v>168</v>
      </c>
      <c r="J90">
        <f t="shared" si="15"/>
        <v>78.076459027990467</v>
      </c>
      <c r="K90">
        <f t="shared" si="16"/>
        <v>77.691288822867278</v>
      </c>
      <c r="O90">
        <f t="shared" si="22"/>
        <v>168</v>
      </c>
      <c r="P90">
        <f t="shared" si="17"/>
        <v>72.893566299924331</v>
      </c>
      <c r="Q90">
        <f t="shared" si="18"/>
        <v>72.893568175973002</v>
      </c>
      <c r="U90">
        <f t="shared" si="23"/>
        <v>168</v>
      </c>
      <c r="V90">
        <f t="shared" si="24"/>
        <v>1.876048673940211E-6</v>
      </c>
      <c r="W90">
        <f t="shared" si="19"/>
        <v>72.893568175973002</v>
      </c>
    </row>
    <row r="91" spans="3:23" x14ac:dyDescent="0.25">
      <c r="C91">
        <f t="shared" si="20"/>
        <v>170</v>
      </c>
      <c r="D91">
        <f t="shared" si="13"/>
        <v>2.5064295383123083</v>
      </c>
      <c r="E91">
        <f t="shared" si="14"/>
        <v>74.985313936736034</v>
      </c>
      <c r="I91">
        <f t="shared" si="21"/>
        <v>170</v>
      </c>
      <c r="J91">
        <f t="shared" si="15"/>
        <v>80.048926689337506</v>
      </c>
      <c r="K91">
        <f t="shared" si="16"/>
        <v>79.672513109466905</v>
      </c>
      <c r="O91">
        <f t="shared" si="22"/>
        <v>170</v>
      </c>
      <c r="P91">
        <f t="shared" si="17"/>
        <v>74.890619775938077</v>
      </c>
      <c r="Q91">
        <f t="shared" si="18"/>
        <v>74.890621139165361</v>
      </c>
      <c r="U91">
        <f t="shared" si="23"/>
        <v>170</v>
      </c>
      <c r="V91">
        <f t="shared" si="24"/>
        <v>1.3632272906503583E-6</v>
      </c>
      <c r="W91">
        <f t="shared" si="19"/>
        <v>74.890621139165361</v>
      </c>
    </row>
    <row r="92" spans="3:23" x14ac:dyDescent="0.25">
      <c r="C92">
        <f t="shared" si="20"/>
        <v>172</v>
      </c>
      <c r="D92">
        <f t="shared" si="13"/>
        <v>1.494406320825818</v>
      </c>
      <c r="E92">
        <f t="shared" si="14"/>
        <v>76.971829108492472</v>
      </c>
      <c r="I92">
        <f t="shared" si="21"/>
        <v>172</v>
      </c>
      <c r="J92">
        <f t="shared" si="15"/>
        <v>82.022666907986888</v>
      </c>
      <c r="K92">
        <f t="shared" si="16"/>
        <v>81.655735730657369</v>
      </c>
      <c r="O92">
        <f t="shared" si="22"/>
        <v>172</v>
      </c>
      <c r="P92">
        <f t="shared" si="17"/>
        <v>76.888191138400515</v>
      </c>
      <c r="Q92">
        <f t="shared" si="18"/>
        <v>76.888192129503025</v>
      </c>
      <c r="U92">
        <f t="shared" si="23"/>
        <v>172</v>
      </c>
      <c r="V92">
        <f t="shared" si="24"/>
        <v>9.9110254087388816E-7</v>
      </c>
      <c r="W92">
        <f t="shared" si="19"/>
        <v>76.888192129503025</v>
      </c>
    </row>
    <row r="93" spans="3:23" x14ac:dyDescent="0.25">
      <c r="C93">
        <f t="shared" si="20"/>
        <v>174</v>
      </c>
      <c r="D93">
        <f t="shared" si="13"/>
        <v>0.49429188598553675</v>
      </c>
      <c r="E93">
        <f t="shared" si="14"/>
        <v>78.96000049440643</v>
      </c>
      <c r="I93">
        <f t="shared" si="21"/>
        <v>174</v>
      </c>
      <c r="J93">
        <f t="shared" si="15"/>
        <v>83.997592381181818</v>
      </c>
      <c r="K93">
        <f t="shared" si="16"/>
        <v>83.640747496675544</v>
      </c>
      <c r="O93">
        <f t="shared" si="22"/>
        <v>174</v>
      </c>
      <c r="P93">
        <f t="shared" si="17"/>
        <v>78.886191212582048</v>
      </c>
      <c r="Q93">
        <f t="shared" si="18"/>
        <v>78.886191933530313</v>
      </c>
      <c r="U93">
        <f t="shared" si="23"/>
        <v>174</v>
      </c>
      <c r="V93">
        <f t="shared" si="24"/>
        <v>7.2094827263513488E-7</v>
      </c>
      <c r="W93">
        <f t="shared" si="19"/>
        <v>78.886191933530313</v>
      </c>
    </row>
    <row r="94" spans="3:23" x14ac:dyDescent="0.25">
      <c r="C94">
        <f t="shared" si="20"/>
        <v>176</v>
      </c>
      <c r="D94">
        <f t="shared" si="13"/>
        <v>-0.48979422581424004</v>
      </c>
      <c r="E94">
        <f t="shared" si="14"/>
        <v>80.949629183343774</v>
      </c>
      <c r="I94">
        <f t="shared" si="21"/>
        <v>176</v>
      </c>
      <c r="J94">
        <f t="shared" si="15"/>
        <v>85.973628706916514</v>
      </c>
      <c r="K94">
        <f t="shared" si="16"/>
        <v>85.627360471055098</v>
      </c>
      <c r="O94">
        <f t="shared" si="22"/>
        <v>176</v>
      </c>
      <c r="P94">
        <f t="shared" si="17"/>
        <v>80.884545757642272</v>
      </c>
      <c r="Q94">
        <f t="shared" si="18"/>
        <v>80.884546282369143</v>
      </c>
      <c r="U94">
        <f t="shared" si="23"/>
        <v>176</v>
      </c>
      <c r="V94">
        <f t="shared" si="24"/>
        <v>5.247268697684971E-7</v>
      </c>
      <c r="W94">
        <f t="shared" si="19"/>
        <v>80.884546282369143</v>
      </c>
    </row>
    <row r="95" spans="3:23" x14ac:dyDescent="0.25">
      <c r="C95">
        <f t="shared" si="20"/>
        <v>178</v>
      </c>
      <c r="D95">
        <f t="shared" si="13"/>
        <v>-1.4540527627536717</v>
      </c>
      <c r="E95">
        <f t="shared" si="14"/>
        <v>82.940539331232017</v>
      </c>
      <c r="I95">
        <f t="shared" si="21"/>
        <v>178</v>
      </c>
      <c r="J95">
        <f t="shared" si="15"/>
        <v>87.950712143998729</v>
      </c>
      <c r="K95">
        <f t="shared" si="16"/>
        <v>87.615405921896141</v>
      </c>
      <c r="O95">
        <f t="shared" si="22"/>
        <v>178</v>
      </c>
      <c r="P95">
        <f t="shared" si="17"/>
        <v>82.883193060647329</v>
      </c>
      <c r="Q95">
        <f t="shared" si="18"/>
        <v>82.883193442779969</v>
      </c>
      <c r="U95">
        <f t="shared" si="23"/>
        <v>178</v>
      </c>
      <c r="V95">
        <f t="shared" si="24"/>
        <v>3.8213263270030134E-7</v>
      </c>
      <c r="W95">
        <f t="shared" si="19"/>
        <v>82.883193442779969</v>
      </c>
    </row>
    <row r="96" spans="3:23" x14ac:dyDescent="0.25">
      <c r="C96">
        <f t="shared" si="20"/>
        <v>180</v>
      </c>
      <c r="D96">
        <f t="shared" si="13"/>
        <v>-2.3950296115243415</v>
      </c>
      <c r="E96">
        <f t="shared" si="14"/>
        <v>84.932575632286216</v>
      </c>
      <c r="I96">
        <f t="shared" si="21"/>
        <v>180</v>
      </c>
      <c r="J96">
        <f t="shared" si="15"/>
        <v>89.928787712270378</v>
      </c>
      <c r="K96">
        <f t="shared" si="16"/>
        <v>89.604732452190007</v>
      </c>
      <c r="O96">
        <f t="shared" si="22"/>
        <v>180</v>
      </c>
      <c r="P96">
        <f t="shared" si="17"/>
        <v>84.882081896889048</v>
      </c>
      <c r="Q96">
        <f t="shared" si="18"/>
        <v>84.882082175343399</v>
      </c>
      <c r="U96">
        <f t="shared" si="23"/>
        <v>180</v>
      </c>
      <c r="V96">
        <f t="shared" si="24"/>
        <v>2.7845435074176005E-7</v>
      </c>
      <c r="W96">
        <f t="shared" si="19"/>
        <v>84.882082175343399</v>
      </c>
    </row>
    <row r="97" spans="3:23" x14ac:dyDescent="0.25">
      <c r="C97">
        <f t="shared" si="20"/>
        <v>182</v>
      </c>
      <c r="D97">
        <f t="shared" si="13"/>
        <v>-3.3096142429058411</v>
      </c>
      <c r="E97">
        <f t="shared" si="14"/>
        <v>86.925601041647923</v>
      </c>
      <c r="I97">
        <f t="shared" si="21"/>
        <v>182</v>
      </c>
      <c r="J97">
        <f t="shared" si="15"/>
        <v>91.907807588444626</v>
      </c>
      <c r="K97">
        <f t="shared" si="16"/>
        <v>91.595204296643402</v>
      </c>
      <c r="O97">
        <f t="shared" si="22"/>
        <v>182</v>
      </c>
      <c r="P97">
        <f t="shared" si="17"/>
        <v>86.881169805541177</v>
      </c>
      <c r="Q97">
        <f t="shared" si="18"/>
        <v>86.881170008571047</v>
      </c>
      <c r="U97">
        <f t="shared" si="23"/>
        <v>182</v>
      </c>
      <c r="V97">
        <f t="shared" si="24"/>
        <v>2.0302985229233635E-7</v>
      </c>
      <c r="W97">
        <f t="shared" si="19"/>
        <v>86.881170008571047</v>
      </c>
    </row>
    <row r="98" spans="3:23" x14ac:dyDescent="0.25">
      <c r="C98">
        <f t="shared" si="20"/>
        <v>184</v>
      </c>
      <c r="D98">
        <f t="shared" si="13"/>
        <v>-4.195025036258901</v>
      </c>
      <c r="E98">
        <f t="shared" si="14"/>
        <v>88.919494729058044</v>
      </c>
      <c r="I98">
        <f t="shared" si="21"/>
        <v>184</v>
      </c>
      <c r="J98">
        <f t="shared" si="15"/>
        <v>93.887729758263035</v>
      </c>
      <c r="K98">
        <f t="shared" si="16"/>
        <v>93.586699772779539</v>
      </c>
      <c r="O98">
        <f t="shared" si="22"/>
        <v>184</v>
      </c>
      <c r="P98">
        <f t="shared" si="17"/>
        <v>88.880421635678005</v>
      </c>
      <c r="Q98">
        <f t="shared" si="18"/>
        <v>88.880421783806383</v>
      </c>
      <c r="U98">
        <f t="shared" si="23"/>
        <v>184</v>
      </c>
      <c r="V98">
        <f t="shared" si="24"/>
        <v>1.481283863961723E-7</v>
      </c>
      <c r="W98">
        <f t="shared" si="19"/>
        <v>88.880421783806383</v>
      </c>
    </row>
    <row r="99" spans="3:23" x14ac:dyDescent="0.25">
      <c r="C99">
        <f t="shared" si="20"/>
        <v>186</v>
      </c>
      <c r="D99">
        <f t="shared" si="13"/>
        <v>-5.0488160029710301</v>
      </c>
      <c r="E99">
        <f t="shared" si="14"/>
        <v>90.914150243963874</v>
      </c>
      <c r="I99">
        <f t="shared" si="21"/>
        <v>186</v>
      </c>
      <c r="J99">
        <f t="shared" si="15"/>
        <v>95.868516890292085</v>
      </c>
      <c r="K99">
        <f t="shared" si="16"/>
        <v>95.579109874530261</v>
      </c>
      <c r="O99">
        <f t="shared" si="22"/>
        <v>186</v>
      </c>
      <c r="P99">
        <f t="shared" si="17"/>
        <v>90.879808323231345</v>
      </c>
      <c r="Q99">
        <f t="shared" si="18"/>
        <v>90.879808431373561</v>
      </c>
      <c r="U99">
        <f t="shared" si="23"/>
        <v>186</v>
      </c>
      <c r="V99">
        <f t="shared" si="24"/>
        <v>1.0814221611910184E-7</v>
      </c>
      <c r="W99">
        <f t="shared" si="19"/>
        <v>90.879808431373561</v>
      </c>
    </row>
    <row r="100" spans="3:23" x14ac:dyDescent="0.25">
      <c r="C100">
        <f t="shared" si="20"/>
        <v>188</v>
      </c>
      <c r="D100">
        <f t="shared" si="13"/>
        <v>-5.8688705114977537</v>
      </c>
      <c r="E100">
        <f t="shared" si="14"/>
        <v>92.909473873407777</v>
      </c>
      <c r="I100">
        <f t="shared" si="21"/>
        <v>188</v>
      </c>
      <c r="J100">
        <f t="shared" si="15"/>
        <v>97.850135400774306</v>
      </c>
      <c r="K100">
        <f t="shared" si="16"/>
        <v>97.572336997054094</v>
      </c>
      <c r="O100">
        <f t="shared" si="22"/>
        <v>188</v>
      </c>
      <c r="P100">
        <f t="shared" si="17"/>
        <v>92.879305864533833</v>
      </c>
      <c r="Q100">
        <f t="shared" si="18"/>
        <v>92.879305943535542</v>
      </c>
      <c r="U100">
        <f t="shared" si="23"/>
        <v>188</v>
      </c>
      <c r="V100">
        <f t="shared" si="24"/>
        <v>7.9001706929661065E-8</v>
      </c>
      <c r="W100">
        <f t="shared" si="19"/>
        <v>92.879305943535542</v>
      </c>
    </row>
    <row r="101" spans="3:23" x14ac:dyDescent="0.25">
      <c r="C101">
        <f t="shared" si="20"/>
        <v>190</v>
      </c>
      <c r="D101">
        <f t="shared" si="13"/>
        <v>-6.6533905306457122</v>
      </c>
      <c r="E101">
        <f t="shared" si="14"/>
        <v>94.905383175095096</v>
      </c>
      <c r="I101">
        <f t="shared" si="21"/>
        <v>190</v>
      </c>
      <c r="J101">
        <f t="shared" si="15"/>
        <v>99.832554682586235</v>
      </c>
      <c r="K101">
        <f t="shared" si="16"/>
        <v>99.566293782083477</v>
      </c>
      <c r="O101">
        <f t="shared" si="22"/>
        <v>190</v>
      </c>
      <c r="P101">
        <f t="shared" si="17"/>
        <v>94.878894456674104</v>
      </c>
      <c r="Q101">
        <f t="shared" si="18"/>
        <v>94.87889451442615</v>
      </c>
      <c r="U101">
        <f t="shared" si="23"/>
        <v>190</v>
      </c>
      <c r="V101">
        <f t="shared" si="24"/>
        <v>5.7752023045720751E-8</v>
      </c>
      <c r="W101">
        <f t="shared" si="19"/>
        <v>94.87889451442615</v>
      </c>
    </row>
    <row r="102" spans="3:23" x14ac:dyDescent="0.25">
      <c r="C102">
        <f t="shared" si="20"/>
        <v>192</v>
      </c>
      <c r="D102">
        <f t="shared" si="13"/>
        <v>-7.4008715034964823</v>
      </c>
      <c r="E102">
        <f t="shared" si="14"/>
        <v>96.901805669159017</v>
      </c>
      <c r="I102">
        <f t="shared" si="21"/>
        <v>192</v>
      </c>
      <c r="J102">
        <f t="shared" si="15"/>
        <v>101.81574647460235</v>
      </c>
      <c r="K102">
        <f t="shared" si="16"/>
        <v>101.56090207371149</v>
      </c>
      <c r="O102">
        <f t="shared" si="22"/>
        <v>192</v>
      </c>
      <c r="P102">
        <f t="shared" si="17"/>
        <v>96.878557778983165</v>
      </c>
      <c r="Q102">
        <f t="shared" si="18"/>
        <v>96.878557821229805</v>
      </c>
      <c r="U102">
        <f t="shared" si="23"/>
        <v>192</v>
      </c>
      <c r="V102">
        <f t="shared" si="24"/>
        <v>4.2246654739219665E-8</v>
      </c>
      <c r="W102">
        <f t="shared" si="19"/>
        <v>96.878557821229805</v>
      </c>
    </row>
    <row r="103" spans="3:23" x14ac:dyDescent="0.25">
      <c r="C103">
        <f t="shared" si="20"/>
        <v>194</v>
      </c>
      <c r="D103">
        <f t="shared" si="13"/>
        <v>-8.1101053582040592</v>
      </c>
      <c r="E103">
        <f t="shared" si="14"/>
        <v>98.898677673284368</v>
      </c>
      <c r="I103">
        <f t="shared" si="21"/>
        <v>194</v>
      </c>
      <c r="J103">
        <f t="shared" si="15"/>
        <v>103.79968435065879</v>
      </c>
      <c r="K103">
        <f t="shared" si="16"/>
        <v>103.5560919751488</v>
      </c>
      <c r="O103">
        <f t="shared" si="22"/>
        <v>194</v>
      </c>
      <c r="P103">
        <f t="shared" si="17"/>
        <v>98.87828239359844</v>
      </c>
      <c r="Q103">
        <f t="shared" si="18"/>
        <v>98.878282424523931</v>
      </c>
      <c r="U103">
        <f t="shared" si="23"/>
        <v>194</v>
      </c>
      <c r="V103">
        <f t="shared" si="24"/>
        <v>3.0925478238326041E-8</v>
      </c>
      <c r="W103">
        <f t="shared" si="19"/>
        <v>98.878282424523931</v>
      </c>
    </row>
    <row r="104" spans="3:23" x14ac:dyDescent="0.25">
      <c r="C104">
        <f t="shared" si="20"/>
        <v>196</v>
      </c>
      <c r="D104">
        <f t="shared" si="13"/>
        <v>-8.7801753948694774</v>
      </c>
      <c r="E104">
        <f t="shared" si="14"/>
        <v>100.89594326700036</v>
      </c>
      <c r="I104">
        <f t="shared" si="21"/>
        <v>196</v>
      </c>
      <c r="J104">
        <f t="shared" si="15"/>
        <v>105.78434330989832</v>
      </c>
      <c r="K104">
        <f t="shared" si="16"/>
        <v>105.55180099760533</v>
      </c>
      <c r="O104">
        <f t="shared" si="22"/>
        <v>196</v>
      </c>
      <c r="P104">
        <f t="shared" si="17"/>
        <v>100.87805724624377</v>
      </c>
      <c r="Q104">
        <f t="shared" si="18"/>
        <v>100.87805726889772</v>
      </c>
      <c r="U104">
        <f t="shared" si="23"/>
        <v>196</v>
      </c>
      <c r="V104">
        <f t="shared" si="24"/>
        <v>2.2653942609216814E-8</v>
      </c>
      <c r="W104">
        <f t="shared" si="19"/>
        <v>100.87805726889772</v>
      </c>
    </row>
    <row r="105" spans="3:23" x14ac:dyDescent="0.25">
      <c r="C105">
        <f t="shared" si="20"/>
        <v>198</v>
      </c>
      <c r="D105">
        <f t="shared" si="13"/>
        <v>-9.4104266535883028</v>
      </c>
      <c r="E105">
        <f t="shared" si="14"/>
        <v>102.8935533720809</v>
      </c>
      <c r="I105">
        <f t="shared" si="21"/>
        <v>198</v>
      </c>
      <c r="J105">
        <f t="shared" si="15"/>
        <v>107.76969945258858</v>
      </c>
      <c r="K105">
        <f t="shared" si="16"/>
        <v>107.54797329307149</v>
      </c>
      <c r="O105">
        <f t="shared" si="22"/>
        <v>198</v>
      </c>
      <c r="P105">
        <f t="shared" si="17"/>
        <v>102.87787325115046</v>
      </c>
      <c r="Q105">
        <f t="shared" si="18"/>
        <v>102.87787326775698</v>
      </c>
      <c r="U105">
        <f t="shared" si="23"/>
        <v>198</v>
      </c>
      <c r="V105">
        <f t="shared" si="24"/>
        <v>1.6606506914464571E-8</v>
      </c>
      <c r="W105">
        <f t="shared" si="19"/>
        <v>102.87787326775698</v>
      </c>
    </row>
    <row r="106" spans="3:23" x14ac:dyDescent="0.25">
      <c r="C106">
        <f t="shared" si="20"/>
        <v>200</v>
      </c>
      <c r="D106">
        <f t="shared" si="13"/>
        <v>-10.000450220652997</v>
      </c>
      <c r="E106">
        <f t="shared" si="14"/>
        <v>104.89146493708012</v>
      </c>
      <c r="I106">
        <f t="shared" si="21"/>
        <v>200</v>
      </c>
      <c r="J106">
        <f t="shared" si="15"/>
        <v>109.75572972756454</v>
      </c>
      <c r="K106">
        <f t="shared" si="16"/>
        <v>109.54455896337464</v>
      </c>
      <c r="O106">
        <f t="shared" si="22"/>
        <v>200</v>
      </c>
      <c r="P106">
        <f t="shared" si="17"/>
        <v>104.87772294646877</v>
      </c>
      <c r="Q106">
        <f t="shared" si="18"/>
        <v>104.87772295865089</v>
      </c>
      <c r="U106">
        <f t="shared" si="23"/>
        <v>200</v>
      </c>
      <c r="V106">
        <f t="shared" si="24"/>
        <v>1.2182138357373438E-8</v>
      </c>
      <c r="W106">
        <f t="shared" si="19"/>
        <v>104.87772295865089</v>
      </c>
    </row>
  </sheetData>
  <mergeCells count="4">
    <mergeCell ref="A4:E4"/>
    <mergeCell ref="G4:K4"/>
    <mergeCell ref="M4:Q4"/>
    <mergeCell ref="S4:W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W106"/>
  <sheetViews>
    <sheetView workbookViewId="0">
      <selection activeCell="E2" sqref="E2"/>
    </sheetView>
  </sheetViews>
  <sheetFormatPr defaultRowHeight="15" x14ac:dyDescent="0.25"/>
  <sheetData>
    <row r="4" spans="1:23" x14ac:dyDescent="0.25">
      <c r="A4" s="5" t="s">
        <v>12</v>
      </c>
      <c r="B4" s="5"/>
      <c r="C4" s="5"/>
      <c r="D4" s="5"/>
      <c r="E4" s="5"/>
      <c r="G4" s="5" t="s">
        <v>14</v>
      </c>
      <c r="H4" s="5"/>
      <c r="I4" s="5"/>
      <c r="J4" s="5"/>
      <c r="K4" s="5"/>
      <c r="M4" s="5" t="s">
        <v>15</v>
      </c>
      <c r="N4" s="5"/>
      <c r="O4" s="5"/>
      <c r="P4" s="5"/>
      <c r="Q4" s="5"/>
      <c r="S4" s="5" t="s">
        <v>16</v>
      </c>
      <c r="T4" s="5"/>
      <c r="U4" s="5"/>
      <c r="V4" s="5"/>
      <c r="W4" s="5"/>
    </row>
    <row r="5" spans="1:23" ht="39" x14ac:dyDescent="0.25">
      <c r="C5" s="3" t="s">
        <v>8</v>
      </c>
      <c r="D5" s="3" t="s">
        <v>12</v>
      </c>
      <c r="E5" s="3" t="s">
        <v>13</v>
      </c>
      <c r="I5" s="3" t="s">
        <v>8</v>
      </c>
      <c r="J5" s="3" t="s">
        <v>14</v>
      </c>
      <c r="K5" s="3" t="s">
        <v>13</v>
      </c>
      <c r="O5" s="3" t="s">
        <v>8</v>
      </c>
      <c r="P5" s="3" t="s">
        <v>15</v>
      </c>
      <c r="Q5" s="3" t="s">
        <v>13</v>
      </c>
      <c r="U5" s="3" t="s">
        <v>8</v>
      </c>
      <c r="V5" s="3" t="s">
        <v>16</v>
      </c>
      <c r="W5" s="3" t="s">
        <v>13</v>
      </c>
    </row>
    <row r="6" spans="1:23" x14ac:dyDescent="0.25">
      <c r="A6" s="1" t="s">
        <v>1</v>
      </c>
      <c r="B6" s="2">
        <v>0.2</v>
      </c>
      <c r="C6">
        <v>1E-4</v>
      </c>
      <c r="D6">
        <f>Down_And_Out_Put(C6,$B$11,$B$6,$B$7,$B$8,$B$9,$B$10)</f>
        <v>0</v>
      </c>
      <c r="E6">
        <f>Vanilla_Put(C6,$B$11,$B$6,$B$7,$B$8,$B$9)</f>
        <v>95.122842450071403</v>
      </c>
      <c r="G6" s="1" t="s">
        <v>1</v>
      </c>
      <c r="H6" s="2">
        <v>0.2</v>
      </c>
      <c r="I6">
        <v>1E-4</v>
      </c>
      <c r="J6">
        <f>Down_And_In_Put(I6,$H$11,$H$6,$H$7,$H$8,$H$9,$H$10)</f>
        <v>95.122842450071403</v>
      </c>
      <c r="K6">
        <f>Vanilla_Put(I6,$H$11,$H$6,$H$7,$H$8,$H$9)</f>
        <v>95.122842450071403</v>
      </c>
      <c r="M6" s="1" t="s">
        <v>1</v>
      </c>
      <c r="N6" s="2">
        <v>0.2</v>
      </c>
      <c r="O6">
        <v>1E-4</v>
      </c>
      <c r="P6">
        <f>Up_And_Out_Put(O6,$N$11,$N$6,$N$7,$N$8,$N$9,$N$10)</f>
        <v>95.122842450071403</v>
      </c>
      <c r="Q6">
        <f>Vanilla_Put(O6,$N$11,$N$6,$N$7,$N$8,$N$9)</f>
        <v>95.122842450071403</v>
      </c>
      <c r="S6" s="1" t="s">
        <v>1</v>
      </c>
      <c r="T6" s="2">
        <v>0.2</v>
      </c>
      <c r="U6">
        <v>1E-4</v>
      </c>
      <c r="V6">
        <f>Up_And_In_Put(U6,$T$11,$T$6,$T$7,$T$8,$T$9,$T$10)</f>
        <v>0</v>
      </c>
      <c r="W6">
        <f>Vanilla_Put(U6,$T$11,$T$6,$T$7,$T$8,$T$9)</f>
        <v>95.122842450071403</v>
      </c>
    </row>
    <row r="7" spans="1:23" x14ac:dyDescent="0.25">
      <c r="A7" s="1" t="s">
        <v>2</v>
      </c>
      <c r="B7" s="2">
        <v>0.05</v>
      </c>
      <c r="C7">
        <f>B9/50</f>
        <v>2</v>
      </c>
      <c r="D7">
        <f t="shared" ref="D7:D70" si="0">Down_And_Out_Put(C7,$B$11,$B$6,$B$7,$B$8,$B$9,$B$10)</f>
        <v>0</v>
      </c>
      <c r="E7">
        <f t="shared" ref="E7:E70" si="1">Vanilla_Put(C7,$B$11,$B$6,$B$7,$B$8,$B$9)</f>
        <v>93.122942450071406</v>
      </c>
      <c r="G7" s="1" t="s">
        <v>2</v>
      </c>
      <c r="H7" s="2">
        <v>0.05</v>
      </c>
      <c r="I7">
        <f>H9/50</f>
        <v>2</v>
      </c>
      <c r="J7">
        <f t="shared" ref="J7:J70" si="2">Down_And_In_Put(I7,$H$11,$H$6,$H$7,$H$8,$H$9,$H$10)</f>
        <v>93.122942450071406</v>
      </c>
      <c r="K7">
        <f t="shared" ref="K7:K70" si="3">Vanilla_Put(I7,$H$11,$H$6,$H$7,$H$8,$H$9)</f>
        <v>93.122942450071406</v>
      </c>
      <c r="M7" s="1" t="s">
        <v>2</v>
      </c>
      <c r="N7" s="2">
        <v>0.05</v>
      </c>
      <c r="O7">
        <f>N9/50</f>
        <v>2</v>
      </c>
      <c r="P7">
        <f t="shared" ref="P7:P70" si="4">Up_And_Out_Put(O7,$N$11,$N$6,$N$7,$N$8,$N$9,$N$10)</f>
        <v>93.122942450071406</v>
      </c>
      <c r="Q7">
        <f t="shared" ref="Q7:Q70" si="5">Vanilla_Put(O7,$N$11,$N$6,$N$7,$N$8,$N$9)</f>
        <v>93.122942450071406</v>
      </c>
      <c r="S7" s="1" t="s">
        <v>2</v>
      </c>
      <c r="T7" s="2">
        <v>0.05</v>
      </c>
      <c r="U7">
        <f>T9/50</f>
        <v>2</v>
      </c>
      <c r="V7">
        <f t="shared" ref="V7:V70" si="6">Up_And_In_Put(U7,$T$11,$T$6,$T$7,$T$8,$T$9,$T$10)</f>
        <v>0</v>
      </c>
      <c r="W7">
        <f t="shared" ref="W7:W70" si="7">Vanilla_Put(U7,$T$11,$T$6,$T$7,$T$8,$T$9)</f>
        <v>93.122942450071406</v>
      </c>
    </row>
    <row r="8" spans="1:23" x14ac:dyDescent="0.25">
      <c r="A8" s="1" t="s">
        <v>3</v>
      </c>
      <c r="B8" s="2">
        <v>0</v>
      </c>
      <c r="C8">
        <f>C7+$C$7</f>
        <v>4</v>
      </c>
      <c r="D8">
        <f t="shared" si="0"/>
        <v>0</v>
      </c>
      <c r="E8">
        <f t="shared" si="1"/>
        <v>91.122942450071406</v>
      </c>
      <c r="G8" s="1" t="s">
        <v>3</v>
      </c>
      <c r="H8" s="2">
        <v>0</v>
      </c>
      <c r="I8">
        <f>I7+$I$7</f>
        <v>4</v>
      </c>
      <c r="J8">
        <f t="shared" si="2"/>
        <v>91.122942450071406</v>
      </c>
      <c r="K8">
        <f t="shared" si="3"/>
        <v>91.122942450071406</v>
      </c>
      <c r="M8" s="1" t="s">
        <v>3</v>
      </c>
      <c r="N8" s="2">
        <v>0</v>
      </c>
      <c r="O8">
        <f>O7+$O$7</f>
        <v>4</v>
      </c>
      <c r="P8">
        <f t="shared" si="4"/>
        <v>91.122942450071406</v>
      </c>
      <c r="Q8">
        <f t="shared" si="5"/>
        <v>91.122942450071406</v>
      </c>
      <c r="S8" s="1" t="s">
        <v>3</v>
      </c>
      <c r="T8" s="2">
        <v>0</v>
      </c>
      <c r="U8">
        <f>U7+$U$7</f>
        <v>4</v>
      </c>
      <c r="V8">
        <f t="shared" si="6"/>
        <v>0</v>
      </c>
      <c r="W8">
        <f t="shared" si="7"/>
        <v>91.122942450071406</v>
      </c>
    </row>
    <row r="9" spans="1:23" x14ac:dyDescent="0.25">
      <c r="A9" s="1" t="s">
        <v>4</v>
      </c>
      <c r="B9" s="2">
        <v>100</v>
      </c>
      <c r="C9">
        <f t="shared" ref="C9:C72" si="8">C8+$C$7</f>
        <v>6</v>
      </c>
      <c r="D9">
        <f t="shared" si="0"/>
        <v>0</v>
      </c>
      <c r="E9">
        <f t="shared" si="1"/>
        <v>89.122942450071406</v>
      </c>
      <c r="G9" s="1" t="s">
        <v>4</v>
      </c>
      <c r="H9" s="2">
        <v>100</v>
      </c>
      <c r="I9">
        <f t="shared" ref="I9:I72" si="9">I8+$I$7</f>
        <v>6</v>
      </c>
      <c r="J9">
        <f t="shared" si="2"/>
        <v>89.122942450071406</v>
      </c>
      <c r="K9">
        <f t="shared" si="3"/>
        <v>89.122942450071406</v>
      </c>
      <c r="M9" s="1" t="s">
        <v>4</v>
      </c>
      <c r="N9" s="2">
        <v>100</v>
      </c>
      <c r="O9">
        <f t="shared" ref="O9:O72" si="10">O8+$O$7</f>
        <v>6</v>
      </c>
      <c r="P9">
        <f t="shared" si="4"/>
        <v>89.122942450071406</v>
      </c>
      <c r="Q9">
        <f t="shared" si="5"/>
        <v>89.122942450071406</v>
      </c>
      <c r="S9" s="1" t="s">
        <v>4</v>
      </c>
      <c r="T9" s="2">
        <v>100</v>
      </c>
      <c r="U9">
        <f>U8+$U$7</f>
        <v>6</v>
      </c>
      <c r="V9">
        <f t="shared" si="6"/>
        <v>0</v>
      </c>
      <c r="W9">
        <f t="shared" si="7"/>
        <v>89.122942450071406</v>
      </c>
    </row>
    <row r="10" spans="1:23" x14ac:dyDescent="0.25">
      <c r="A10" s="1" t="s">
        <v>5</v>
      </c>
      <c r="B10" s="2">
        <v>80</v>
      </c>
      <c r="C10">
        <f t="shared" si="8"/>
        <v>8</v>
      </c>
      <c r="D10">
        <f t="shared" si="0"/>
        <v>0</v>
      </c>
      <c r="E10">
        <f t="shared" si="1"/>
        <v>87.122942450071406</v>
      </c>
      <c r="G10" s="1" t="s">
        <v>5</v>
      </c>
      <c r="H10" s="2">
        <v>80</v>
      </c>
      <c r="I10">
        <f t="shared" si="9"/>
        <v>8</v>
      </c>
      <c r="J10">
        <f t="shared" si="2"/>
        <v>87.122942450071406</v>
      </c>
      <c r="K10">
        <f t="shared" si="3"/>
        <v>87.122942450071406</v>
      </c>
      <c r="M10" s="1" t="s">
        <v>5</v>
      </c>
      <c r="N10" s="2">
        <v>80</v>
      </c>
      <c r="O10">
        <f t="shared" si="10"/>
        <v>8</v>
      </c>
      <c r="P10">
        <f t="shared" si="4"/>
        <v>87.122942450071406</v>
      </c>
      <c r="Q10">
        <f t="shared" si="5"/>
        <v>87.122942450071406</v>
      </c>
      <c r="S10" s="1" t="s">
        <v>5</v>
      </c>
      <c r="T10" s="2">
        <v>80</v>
      </c>
      <c r="U10">
        <f t="shared" ref="U10:U73" si="11">U9+$U$7</f>
        <v>8</v>
      </c>
      <c r="V10">
        <f t="shared" si="6"/>
        <v>0</v>
      </c>
      <c r="W10">
        <f t="shared" si="7"/>
        <v>87.122942450071406</v>
      </c>
    </row>
    <row r="11" spans="1:23" x14ac:dyDescent="0.25">
      <c r="A11" s="1" t="s">
        <v>6</v>
      </c>
      <c r="B11" s="2">
        <v>1</v>
      </c>
      <c r="C11">
        <f t="shared" si="8"/>
        <v>10</v>
      </c>
      <c r="D11">
        <f t="shared" si="0"/>
        <v>0</v>
      </c>
      <c r="E11">
        <f t="shared" si="1"/>
        <v>85.122942450071406</v>
      </c>
      <c r="G11" s="1" t="s">
        <v>6</v>
      </c>
      <c r="H11" s="2">
        <v>1</v>
      </c>
      <c r="I11">
        <f t="shared" si="9"/>
        <v>10</v>
      </c>
      <c r="J11">
        <f t="shared" si="2"/>
        <v>85.122942450071406</v>
      </c>
      <c r="K11">
        <f t="shared" si="3"/>
        <v>85.122942450071406</v>
      </c>
      <c r="M11" s="1" t="s">
        <v>6</v>
      </c>
      <c r="N11" s="2">
        <v>1</v>
      </c>
      <c r="O11">
        <f t="shared" si="10"/>
        <v>10</v>
      </c>
      <c r="P11">
        <f t="shared" si="4"/>
        <v>85.122942450071406</v>
      </c>
      <c r="Q11">
        <f t="shared" si="5"/>
        <v>85.122942450071406</v>
      </c>
      <c r="S11" s="1" t="s">
        <v>6</v>
      </c>
      <c r="T11" s="2">
        <v>1</v>
      </c>
      <c r="U11">
        <f t="shared" si="11"/>
        <v>10</v>
      </c>
      <c r="V11">
        <f t="shared" si="6"/>
        <v>0</v>
      </c>
      <c r="W11">
        <f t="shared" si="7"/>
        <v>85.122942450071406</v>
      </c>
    </row>
    <row r="12" spans="1:23" x14ac:dyDescent="0.25">
      <c r="C12">
        <f t="shared" si="8"/>
        <v>12</v>
      </c>
      <c r="D12">
        <f t="shared" si="0"/>
        <v>0</v>
      </c>
      <c r="E12">
        <f t="shared" si="1"/>
        <v>83.122942450071406</v>
      </c>
      <c r="I12">
        <f t="shared" si="9"/>
        <v>12</v>
      </c>
      <c r="J12">
        <f t="shared" si="2"/>
        <v>83.122942450071406</v>
      </c>
      <c r="K12">
        <f t="shared" si="3"/>
        <v>83.122942450071406</v>
      </c>
      <c r="O12">
        <f t="shared" si="10"/>
        <v>12</v>
      </c>
      <c r="P12">
        <f t="shared" si="4"/>
        <v>83.122942450071406</v>
      </c>
      <c r="Q12">
        <f t="shared" si="5"/>
        <v>83.122942450071406</v>
      </c>
      <c r="U12">
        <f t="shared" si="11"/>
        <v>12</v>
      </c>
      <c r="V12">
        <f t="shared" si="6"/>
        <v>0</v>
      </c>
      <c r="W12">
        <f t="shared" si="7"/>
        <v>83.122942450071406</v>
      </c>
    </row>
    <row r="13" spans="1:23" x14ac:dyDescent="0.25">
      <c r="C13">
        <f t="shared" si="8"/>
        <v>14</v>
      </c>
      <c r="D13">
        <f t="shared" si="0"/>
        <v>1.8065318058433939E-13</v>
      </c>
      <c r="E13">
        <f t="shared" si="1"/>
        <v>81.122942450071406</v>
      </c>
      <c r="I13">
        <f t="shared" si="9"/>
        <v>14</v>
      </c>
      <c r="J13">
        <f t="shared" si="2"/>
        <v>81.122942450071235</v>
      </c>
      <c r="K13">
        <f t="shared" si="3"/>
        <v>81.122942450071406</v>
      </c>
      <c r="O13">
        <f t="shared" si="10"/>
        <v>14</v>
      </c>
      <c r="P13">
        <f t="shared" si="4"/>
        <v>81.122942450071406</v>
      </c>
      <c r="Q13">
        <f t="shared" si="5"/>
        <v>81.122942450071406</v>
      </c>
      <c r="U13">
        <f t="shared" si="11"/>
        <v>14</v>
      </c>
      <c r="V13">
        <f t="shared" si="6"/>
        <v>0</v>
      </c>
      <c r="W13">
        <f t="shared" si="7"/>
        <v>81.122942450071406</v>
      </c>
    </row>
    <row r="14" spans="1:23" x14ac:dyDescent="0.25">
      <c r="C14">
        <f t="shared" si="8"/>
        <v>16</v>
      </c>
      <c r="D14">
        <f t="shared" si="0"/>
        <v>-1.9667255491683776E-11</v>
      </c>
      <c r="E14">
        <f t="shared" si="1"/>
        <v>79.122942450071406</v>
      </c>
      <c r="I14">
        <f t="shared" si="9"/>
        <v>16</v>
      </c>
      <c r="J14">
        <f t="shared" si="2"/>
        <v>79.122942450091088</v>
      </c>
      <c r="K14">
        <f t="shared" si="3"/>
        <v>79.122942450071406</v>
      </c>
      <c r="O14">
        <f t="shared" si="10"/>
        <v>16</v>
      </c>
      <c r="P14">
        <f t="shared" si="4"/>
        <v>79.122942450071264</v>
      </c>
      <c r="Q14">
        <f t="shared" si="5"/>
        <v>79.122942450071406</v>
      </c>
      <c r="U14">
        <f t="shared" si="11"/>
        <v>16</v>
      </c>
      <c r="V14">
        <f t="shared" si="6"/>
        <v>1.4345248095423454E-13</v>
      </c>
      <c r="W14">
        <f t="shared" si="7"/>
        <v>79.122942450071406</v>
      </c>
    </row>
    <row r="15" spans="1:23" x14ac:dyDescent="0.25">
      <c r="C15">
        <f t="shared" si="8"/>
        <v>18</v>
      </c>
      <c r="D15">
        <f t="shared" si="0"/>
        <v>-1.0561618274282652E-9</v>
      </c>
      <c r="E15">
        <f t="shared" si="1"/>
        <v>77.122942450071406</v>
      </c>
      <c r="I15">
        <f t="shared" si="9"/>
        <v>18</v>
      </c>
      <c r="J15">
        <f t="shared" si="2"/>
        <v>77.122942451127571</v>
      </c>
      <c r="K15">
        <f t="shared" si="3"/>
        <v>77.122942450071406</v>
      </c>
      <c r="O15">
        <f t="shared" si="10"/>
        <v>18</v>
      </c>
      <c r="P15">
        <f t="shared" si="4"/>
        <v>77.122942450066233</v>
      </c>
      <c r="Q15">
        <f t="shared" si="5"/>
        <v>77.122942450071406</v>
      </c>
      <c r="U15">
        <f t="shared" si="11"/>
        <v>18</v>
      </c>
      <c r="V15">
        <f t="shared" si="6"/>
        <v>5.1745037857488853E-12</v>
      </c>
      <c r="W15">
        <f t="shared" si="7"/>
        <v>77.122942450071406</v>
      </c>
    </row>
    <row r="16" spans="1:23" x14ac:dyDescent="0.25">
      <c r="C16">
        <f t="shared" si="8"/>
        <v>20</v>
      </c>
      <c r="D16">
        <f t="shared" si="0"/>
        <v>-2.805405748913367E-8</v>
      </c>
      <c r="E16">
        <f t="shared" si="1"/>
        <v>75.122942450071406</v>
      </c>
      <c r="I16">
        <f t="shared" si="9"/>
        <v>20</v>
      </c>
      <c r="J16">
        <f t="shared" si="2"/>
        <v>75.122942478125466</v>
      </c>
      <c r="K16">
        <f t="shared" si="3"/>
        <v>75.122942450071406</v>
      </c>
      <c r="O16">
        <f t="shared" si="10"/>
        <v>20</v>
      </c>
      <c r="P16">
        <f t="shared" si="4"/>
        <v>75.122942449849958</v>
      </c>
      <c r="Q16">
        <f t="shared" si="5"/>
        <v>75.122942450071406</v>
      </c>
      <c r="U16">
        <f t="shared" si="11"/>
        <v>20</v>
      </c>
      <c r="V16">
        <f t="shared" si="6"/>
        <v>2.2145269877035128E-10</v>
      </c>
      <c r="W16">
        <f t="shared" si="7"/>
        <v>75.122942450071406</v>
      </c>
    </row>
    <row r="17" spans="3:23" x14ac:dyDescent="0.25">
      <c r="C17">
        <f t="shared" si="8"/>
        <v>22</v>
      </c>
      <c r="D17">
        <f t="shared" si="0"/>
        <v>-4.3285954185791499E-7</v>
      </c>
      <c r="E17">
        <f t="shared" si="1"/>
        <v>73.122942450071548</v>
      </c>
      <c r="I17">
        <f t="shared" si="9"/>
        <v>22</v>
      </c>
      <c r="J17">
        <f t="shared" si="2"/>
        <v>73.122942882931085</v>
      </c>
      <c r="K17">
        <f t="shared" si="3"/>
        <v>73.122942450071548</v>
      </c>
      <c r="O17">
        <f t="shared" si="10"/>
        <v>22</v>
      </c>
      <c r="P17">
        <f t="shared" si="4"/>
        <v>73.122942444725965</v>
      </c>
      <c r="Q17">
        <f t="shared" si="5"/>
        <v>73.122942450071548</v>
      </c>
      <c r="U17">
        <f t="shared" si="11"/>
        <v>22</v>
      </c>
      <c r="V17">
        <f t="shared" si="6"/>
        <v>5.3455926997554999E-9</v>
      </c>
      <c r="W17">
        <f t="shared" si="7"/>
        <v>73.122942450071548</v>
      </c>
    </row>
    <row r="18" spans="3:23" x14ac:dyDescent="0.25">
      <c r="C18">
        <f t="shared" si="8"/>
        <v>24</v>
      </c>
      <c r="D18">
        <f t="shared" si="0"/>
        <v>-4.3498253740027412E-6</v>
      </c>
      <c r="E18">
        <f t="shared" si="1"/>
        <v>71.122942450075172</v>
      </c>
      <c r="I18">
        <f t="shared" si="9"/>
        <v>24</v>
      </c>
      <c r="J18">
        <f t="shared" si="2"/>
        <v>71.122946799900532</v>
      </c>
      <c r="K18">
        <f t="shared" si="3"/>
        <v>71.122942450075172</v>
      </c>
      <c r="O18">
        <f t="shared" si="10"/>
        <v>24</v>
      </c>
      <c r="P18">
        <f t="shared" si="4"/>
        <v>71.122942369520302</v>
      </c>
      <c r="Q18">
        <f t="shared" si="5"/>
        <v>71.122942450075172</v>
      </c>
      <c r="U18">
        <f t="shared" si="11"/>
        <v>24</v>
      </c>
      <c r="V18">
        <f t="shared" si="6"/>
        <v>8.0554869733991845E-8</v>
      </c>
      <c r="W18">
        <f t="shared" si="7"/>
        <v>71.122942450075172</v>
      </c>
    </row>
    <row r="19" spans="3:23" x14ac:dyDescent="0.25">
      <c r="C19">
        <f t="shared" si="8"/>
        <v>26</v>
      </c>
      <c r="D19">
        <f t="shared" si="0"/>
        <v>-3.0954099409571424E-5</v>
      </c>
      <c r="E19">
        <f t="shared" si="1"/>
        <v>69.122942450135113</v>
      </c>
      <c r="I19">
        <f t="shared" si="9"/>
        <v>26</v>
      </c>
      <c r="J19">
        <f t="shared" si="2"/>
        <v>69.122973404234529</v>
      </c>
      <c r="K19">
        <f t="shared" si="3"/>
        <v>69.122942450135113</v>
      </c>
      <c r="O19">
        <f t="shared" si="10"/>
        <v>26</v>
      </c>
      <c r="P19">
        <f t="shared" si="4"/>
        <v>69.122941620353785</v>
      </c>
      <c r="Q19">
        <f t="shared" si="5"/>
        <v>69.122942450135113</v>
      </c>
      <c r="U19">
        <f t="shared" si="11"/>
        <v>26</v>
      </c>
      <c r="V19">
        <f t="shared" si="6"/>
        <v>8.2978133317919154E-7</v>
      </c>
      <c r="W19">
        <f t="shared" si="7"/>
        <v>69.122942450135113</v>
      </c>
    </row>
    <row r="20" spans="3:23" x14ac:dyDescent="0.25">
      <c r="C20">
        <f t="shared" si="8"/>
        <v>28</v>
      </c>
      <c r="D20">
        <f t="shared" si="0"/>
        <v>-1.6609931656381884E-4</v>
      </c>
      <c r="E20">
        <f t="shared" si="1"/>
        <v>67.122942450835041</v>
      </c>
      <c r="I20">
        <f t="shared" si="9"/>
        <v>28</v>
      </c>
      <c r="J20">
        <f t="shared" si="2"/>
        <v>67.123108550151585</v>
      </c>
      <c r="K20">
        <f t="shared" si="3"/>
        <v>67.122942450835041</v>
      </c>
      <c r="O20">
        <f t="shared" si="10"/>
        <v>28</v>
      </c>
      <c r="P20">
        <f t="shared" si="4"/>
        <v>67.122936193984586</v>
      </c>
      <c r="Q20">
        <f t="shared" si="5"/>
        <v>67.122942450835041</v>
      </c>
      <c r="U20">
        <f t="shared" si="11"/>
        <v>28</v>
      </c>
      <c r="V20">
        <f t="shared" si="6"/>
        <v>6.2568504520666823E-6</v>
      </c>
      <c r="W20">
        <f t="shared" si="7"/>
        <v>67.122942450835041</v>
      </c>
    </row>
    <row r="21" spans="3:23" x14ac:dyDescent="0.25">
      <c r="C21">
        <f t="shared" si="8"/>
        <v>30</v>
      </c>
      <c r="D21">
        <f t="shared" si="0"/>
        <v>-7.0522943807292335E-4</v>
      </c>
      <c r="E21">
        <f t="shared" si="1"/>
        <v>65.122942456923283</v>
      </c>
      <c r="I21">
        <f t="shared" si="9"/>
        <v>30</v>
      </c>
      <c r="J21">
        <f t="shared" si="2"/>
        <v>65.123647686361352</v>
      </c>
      <c r="K21">
        <f t="shared" si="3"/>
        <v>65.122942456923283</v>
      </c>
      <c r="O21">
        <f t="shared" si="10"/>
        <v>30</v>
      </c>
      <c r="P21">
        <f t="shared" si="4"/>
        <v>65.12290605162562</v>
      </c>
      <c r="Q21">
        <f t="shared" si="5"/>
        <v>65.122942456923283</v>
      </c>
      <c r="U21">
        <f t="shared" si="11"/>
        <v>30</v>
      </c>
      <c r="V21">
        <f t="shared" si="6"/>
        <v>3.6405297648860191E-5</v>
      </c>
      <c r="W21">
        <f t="shared" si="7"/>
        <v>65.122942456923283</v>
      </c>
    </row>
    <row r="22" spans="3:23" x14ac:dyDescent="0.25">
      <c r="C22">
        <f t="shared" si="8"/>
        <v>32</v>
      </c>
      <c r="D22">
        <f t="shared" si="0"/>
        <v>-2.4599111984996355E-3</v>
      </c>
      <c r="E22">
        <f t="shared" si="1"/>
        <v>63.122942498225541</v>
      </c>
      <c r="I22">
        <f t="shared" si="9"/>
        <v>32</v>
      </c>
      <c r="J22">
        <f t="shared" si="2"/>
        <v>63.125402409424048</v>
      </c>
      <c r="K22">
        <f t="shared" si="3"/>
        <v>63.122942498225541</v>
      </c>
      <c r="O22">
        <f t="shared" si="10"/>
        <v>32</v>
      </c>
      <c r="P22">
        <f t="shared" si="4"/>
        <v>63.122772150502271</v>
      </c>
      <c r="Q22">
        <f t="shared" si="5"/>
        <v>63.122942498225541</v>
      </c>
      <c r="U22">
        <f t="shared" si="11"/>
        <v>32</v>
      </c>
      <c r="V22">
        <f t="shared" si="6"/>
        <v>1.703477232740477E-4</v>
      </c>
      <c r="W22">
        <f t="shared" si="7"/>
        <v>63.122942498225541</v>
      </c>
    </row>
    <row r="23" spans="3:23" x14ac:dyDescent="0.25">
      <c r="C23">
        <f t="shared" si="8"/>
        <v>34</v>
      </c>
      <c r="D23">
        <f t="shared" si="0"/>
        <v>-7.2620326242208155E-3</v>
      </c>
      <c r="E23">
        <f t="shared" si="1"/>
        <v>61.122942724879685</v>
      </c>
      <c r="I23">
        <f t="shared" si="9"/>
        <v>34</v>
      </c>
      <c r="J23">
        <f t="shared" si="2"/>
        <v>61.130204757503918</v>
      </c>
      <c r="K23">
        <f t="shared" si="3"/>
        <v>61.122942724879685</v>
      </c>
      <c r="O23">
        <f t="shared" si="10"/>
        <v>34</v>
      </c>
      <c r="P23">
        <f t="shared" si="4"/>
        <v>61.122280263176869</v>
      </c>
      <c r="Q23">
        <f t="shared" si="5"/>
        <v>61.122942724879685</v>
      </c>
      <c r="U23">
        <f t="shared" si="11"/>
        <v>34</v>
      </c>
      <c r="V23">
        <f t="shared" si="6"/>
        <v>6.6246170280617571E-4</v>
      </c>
      <c r="W23">
        <f t="shared" si="7"/>
        <v>61.122942724879685</v>
      </c>
    </row>
    <row r="24" spans="3:23" x14ac:dyDescent="0.25">
      <c r="C24">
        <f t="shared" si="8"/>
        <v>36</v>
      </c>
      <c r="D24">
        <f t="shared" si="0"/>
        <v>-1.8583184354817206E-2</v>
      </c>
      <c r="E24">
        <f t="shared" si="1"/>
        <v>59.122943761319355</v>
      </c>
      <c r="I24">
        <f t="shared" si="9"/>
        <v>36</v>
      </c>
      <c r="J24">
        <f t="shared" si="2"/>
        <v>59.14152694567418</v>
      </c>
      <c r="K24">
        <f t="shared" si="3"/>
        <v>59.122943761319355</v>
      </c>
      <c r="O24">
        <f t="shared" si="10"/>
        <v>36</v>
      </c>
      <c r="P24">
        <f t="shared" si="4"/>
        <v>59.120745018599692</v>
      </c>
      <c r="Q24">
        <f t="shared" si="5"/>
        <v>59.122943761319355</v>
      </c>
      <c r="U24">
        <f t="shared" si="11"/>
        <v>36</v>
      </c>
      <c r="V24">
        <f t="shared" si="6"/>
        <v>2.198742719678369E-3</v>
      </c>
      <c r="W24">
        <f t="shared" si="7"/>
        <v>59.122943761319355</v>
      </c>
    </row>
    <row r="25" spans="3:23" x14ac:dyDescent="0.25">
      <c r="C25">
        <f t="shared" si="8"/>
        <v>38</v>
      </c>
      <c r="D25">
        <f t="shared" si="0"/>
        <v>-4.2026873903020401E-2</v>
      </c>
      <c r="E25">
        <f t="shared" si="1"/>
        <v>57.122947807920191</v>
      </c>
      <c r="I25">
        <f t="shared" si="9"/>
        <v>38</v>
      </c>
      <c r="J25">
        <f t="shared" si="2"/>
        <v>57.164974681823196</v>
      </c>
      <c r="K25">
        <f t="shared" si="3"/>
        <v>57.122947807920191</v>
      </c>
      <c r="O25">
        <f t="shared" si="10"/>
        <v>38</v>
      </c>
      <c r="P25">
        <f t="shared" si="4"/>
        <v>57.116582705831483</v>
      </c>
      <c r="Q25">
        <f t="shared" si="5"/>
        <v>57.122947807920191</v>
      </c>
      <c r="U25">
        <f t="shared" si="11"/>
        <v>38</v>
      </c>
      <c r="V25">
        <f t="shared" si="6"/>
        <v>6.3651020886981297E-3</v>
      </c>
      <c r="W25">
        <f t="shared" si="7"/>
        <v>57.122947807920191</v>
      </c>
    </row>
    <row r="26" spans="3:23" x14ac:dyDescent="0.25">
      <c r="C26">
        <f t="shared" si="8"/>
        <v>40</v>
      </c>
      <c r="D26">
        <f t="shared" si="0"/>
        <v>-8.5346097795951259E-2</v>
      </c>
      <c r="E26">
        <f t="shared" si="1"/>
        <v>55.122961572851374</v>
      </c>
      <c r="I26">
        <f t="shared" si="9"/>
        <v>40</v>
      </c>
      <c r="J26">
        <f t="shared" si="2"/>
        <v>55.208307670647329</v>
      </c>
      <c r="K26">
        <f t="shared" si="3"/>
        <v>55.122961572851374</v>
      </c>
      <c r="O26">
        <f t="shared" si="10"/>
        <v>40</v>
      </c>
      <c r="P26">
        <f t="shared" si="4"/>
        <v>55.106599321716857</v>
      </c>
      <c r="Q26">
        <f t="shared" si="5"/>
        <v>55.122961572851374</v>
      </c>
      <c r="U26">
        <f t="shared" si="11"/>
        <v>40</v>
      </c>
      <c r="V26">
        <f t="shared" si="6"/>
        <v>1.6362251134516781E-2</v>
      </c>
      <c r="W26">
        <f t="shared" si="7"/>
        <v>55.122961572851374</v>
      </c>
    </row>
    <row r="27" spans="3:23" x14ac:dyDescent="0.25">
      <c r="C27">
        <f t="shared" si="8"/>
        <v>42</v>
      </c>
      <c r="D27">
        <f t="shared" si="0"/>
        <v>-0.15768765643675353</v>
      </c>
      <c r="E27">
        <f t="shared" si="1"/>
        <v>53.123003062260715</v>
      </c>
      <c r="I27">
        <f t="shared" si="9"/>
        <v>42</v>
      </c>
      <c r="J27">
        <f t="shared" si="2"/>
        <v>53.280690718697457</v>
      </c>
      <c r="K27">
        <f t="shared" si="3"/>
        <v>53.123003062260715</v>
      </c>
      <c r="O27">
        <f t="shared" si="10"/>
        <v>42</v>
      </c>
      <c r="P27">
        <f t="shared" si="4"/>
        <v>53.085090230673586</v>
      </c>
      <c r="Q27">
        <f t="shared" si="5"/>
        <v>53.123003062260715</v>
      </c>
      <c r="U27">
        <f t="shared" si="11"/>
        <v>42</v>
      </c>
      <c r="V27">
        <f t="shared" si="6"/>
        <v>3.7912831587120499E-2</v>
      </c>
      <c r="W27">
        <f t="shared" si="7"/>
        <v>53.123003062260715</v>
      </c>
    </row>
    <row r="28" spans="3:23" x14ac:dyDescent="0.25">
      <c r="C28">
        <f t="shared" si="8"/>
        <v>44</v>
      </c>
      <c r="D28">
        <f t="shared" si="0"/>
        <v>-0.26799071920676454</v>
      </c>
      <c r="E28">
        <f t="shared" si="1"/>
        <v>51.123115465039149</v>
      </c>
      <c r="I28">
        <f t="shared" si="9"/>
        <v>44</v>
      </c>
      <c r="J28">
        <f t="shared" si="2"/>
        <v>51.39110618424592</v>
      </c>
      <c r="K28">
        <f t="shared" si="3"/>
        <v>51.123115465039149</v>
      </c>
      <c r="O28">
        <f t="shared" si="10"/>
        <v>44</v>
      </c>
      <c r="P28">
        <f t="shared" si="4"/>
        <v>51.042928258153438</v>
      </c>
      <c r="Q28">
        <f t="shared" si="5"/>
        <v>51.123115465039149</v>
      </c>
      <c r="U28">
        <f t="shared" si="11"/>
        <v>44</v>
      </c>
      <c r="V28">
        <f t="shared" si="6"/>
        <v>8.0187206885715512E-2</v>
      </c>
      <c r="W28">
        <f t="shared" si="7"/>
        <v>51.123115465039149</v>
      </c>
    </row>
    <row r="29" spans="3:23" x14ac:dyDescent="0.25">
      <c r="C29">
        <f t="shared" si="8"/>
        <v>46</v>
      </c>
      <c r="D29">
        <f t="shared" si="0"/>
        <v>-0.42278945015432701</v>
      </c>
      <c r="E29">
        <f t="shared" si="1"/>
        <v>49.123392518508453</v>
      </c>
      <c r="I29">
        <f t="shared" si="9"/>
        <v>46</v>
      </c>
      <c r="J29">
        <f t="shared" si="2"/>
        <v>49.546181968662779</v>
      </c>
      <c r="K29">
        <f t="shared" si="3"/>
        <v>49.123392518508453</v>
      </c>
      <c r="O29">
        <f t="shared" si="10"/>
        <v>46</v>
      </c>
      <c r="P29">
        <f t="shared" si="4"/>
        <v>48.966918793185599</v>
      </c>
      <c r="Q29">
        <f t="shared" si="5"/>
        <v>49.123392518508453</v>
      </c>
      <c r="U29">
        <f t="shared" si="11"/>
        <v>46</v>
      </c>
      <c r="V29">
        <f t="shared" si="6"/>
        <v>0.15647372532286719</v>
      </c>
      <c r="W29">
        <f t="shared" si="7"/>
        <v>49.123392518508453</v>
      </c>
    </row>
    <row r="30" spans="3:23" x14ac:dyDescent="0.25">
      <c r="C30">
        <f t="shared" si="8"/>
        <v>48</v>
      </c>
      <c r="D30">
        <f t="shared" si="0"/>
        <v>-0.62394522957670695</v>
      </c>
      <c r="E30">
        <f t="shared" si="1"/>
        <v>47.124020301956918</v>
      </c>
      <c r="I30">
        <f t="shared" si="9"/>
        <v>48</v>
      </c>
      <c r="J30">
        <f t="shared" si="2"/>
        <v>47.747965531533623</v>
      </c>
      <c r="K30">
        <f t="shared" si="3"/>
        <v>47.124020301956918</v>
      </c>
      <c r="O30">
        <f t="shared" si="10"/>
        <v>48</v>
      </c>
      <c r="P30">
        <f t="shared" si="4"/>
        <v>46.839729152915631</v>
      </c>
      <c r="Q30">
        <f t="shared" si="5"/>
        <v>47.124020301956918</v>
      </c>
      <c r="U30">
        <f t="shared" si="11"/>
        <v>48</v>
      </c>
      <c r="V30">
        <f t="shared" si="6"/>
        <v>0.28429114904128538</v>
      </c>
      <c r="W30">
        <f t="shared" si="7"/>
        <v>47.124020301956918</v>
      </c>
    </row>
    <row r="31" spans="3:23" x14ac:dyDescent="0.25">
      <c r="C31">
        <f t="shared" si="8"/>
        <v>50</v>
      </c>
      <c r="D31">
        <f t="shared" si="0"/>
        <v>-0.86693846571818867</v>
      </c>
      <c r="E31">
        <f t="shared" si="1"/>
        <v>45.125339788742473</v>
      </c>
      <c r="I31">
        <f t="shared" si="9"/>
        <v>50</v>
      </c>
      <c r="J31">
        <f t="shared" si="2"/>
        <v>45.992278254460672</v>
      </c>
      <c r="K31">
        <f t="shared" si="3"/>
        <v>45.125339788742473</v>
      </c>
      <c r="O31">
        <f t="shared" si="10"/>
        <v>50</v>
      </c>
      <c r="P31">
        <f t="shared" si="4"/>
        <v>44.64062489486524</v>
      </c>
      <c r="Q31">
        <f t="shared" si="5"/>
        <v>45.125339788742473</v>
      </c>
      <c r="U31">
        <f t="shared" si="11"/>
        <v>50</v>
      </c>
      <c r="V31">
        <f t="shared" si="6"/>
        <v>0.48471489387723277</v>
      </c>
      <c r="W31">
        <f t="shared" si="7"/>
        <v>45.125339788742473</v>
      </c>
    </row>
    <row r="32" spans="3:23" x14ac:dyDescent="0.25">
      <c r="C32">
        <f t="shared" si="8"/>
        <v>52</v>
      </c>
      <c r="D32">
        <f t="shared" si="0"/>
        <v>-1.140238859653433</v>
      </c>
      <c r="E32">
        <f t="shared" si="1"/>
        <v>43.127932299097296</v>
      </c>
      <c r="I32">
        <f t="shared" si="9"/>
        <v>52</v>
      </c>
      <c r="J32">
        <f t="shared" si="2"/>
        <v>44.268171158750732</v>
      </c>
      <c r="K32">
        <f t="shared" si="3"/>
        <v>43.127932299097296</v>
      </c>
      <c r="O32">
        <f t="shared" si="10"/>
        <v>52</v>
      </c>
      <c r="P32">
        <f t="shared" si="4"/>
        <v>42.347079477481962</v>
      </c>
      <c r="Q32">
        <f t="shared" si="5"/>
        <v>43.127932299097296</v>
      </c>
      <c r="U32">
        <f t="shared" si="11"/>
        <v>52</v>
      </c>
      <c r="V32">
        <f t="shared" si="6"/>
        <v>0.78085282161532987</v>
      </c>
      <c r="W32">
        <f t="shared" si="7"/>
        <v>43.127932299097296</v>
      </c>
    </row>
    <row r="33" spans="3:23" x14ac:dyDescent="0.25">
      <c r="C33">
        <f t="shared" si="8"/>
        <v>54</v>
      </c>
      <c r="D33">
        <f t="shared" si="0"/>
        <v>-1.4259944742473145</v>
      </c>
      <c r="E33">
        <f t="shared" si="1"/>
        <v>41.132726261547404</v>
      </c>
      <c r="I33">
        <f t="shared" si="9"/>
        <v>54</v>
      </c>
      <c r="J33">
        <f t="shared" si="2"/>
        <v>42.558720735794722</v>
      </c>
      <c r="K33">
        <f t="shared" si="3"/>
        <v>41.132726261547404</v>
      </c>
      <c r="O33">
        <f t="shared" si="10"/>
        <v>54</v>
      </c>
      <c r="P33">
        <f t="shared" si="4"/>
        <v>39.937114831865436</v>
      </c>
      <c r="Q33">
        <f t="shared" si="5"/>
        <v>41.132726261547404</v>
      </c>
      <c r="U33">
        <f t="shared" si="11"/>
        <v>54</v>
      </c>
      <c r="V33">
        <f t="shared" si="6"/>
        <v>1.195611429681958</v>
      </c>
      <c r="W33">
        <f t="shared" si="7"/>
        <v>41.132726261547404</v>
      </c>
    </row>
    <row r="34" spans="3:23" x14ac:dyDescent="0.25">
      <c r="C34">
        <f t="shared" si="8"/>
        <v>56</v>
      </c>
      <c r="D34">
        <f t="shared" si="0"/>
        <v>-1.7019408844149702</v>
      </c>
      <c r="E34">
        <f t="shared" si="1"/>
        <v>39.141118957040142</v>
      </c>
      <c r="I34">
        <f t="shared" si="9"/>
        <v>56</v>
      </c>
      <c r="J34">
        <f t="shared" si="2"/>
        <v>40.843059841455101</v>
      </c>
      <c r="K34">
        <f t="shared" si="3"/>
        <v>39.141118957040142</v>
      </c>
      <c r="O34">
        <f t="shared" si="10"/>
        <v>56</v>
      </c>
      <c r="P34">
        <f t="shared" si="4"/>
        <v>37.392044237181082</v>
      </c>
      <c r="Q34">
        <f t="shared" si="5"/>
        <v>39.141118957040142</v>
      </c>
      <c r="U34">
        <f t="shared" si="11"/>
        <v>56</v>
      </c>
      <c r="V34">
        <f t="shared" si="6"/>
        <v>1.7490747198590482</v>
      </c>
      <c r="W34">
        <f t="shared" si="7"/>
        <v>39.141118957040142</v>
      </c>
    </row>
    <row r="35" spans="3:23" x14ac:dyDescent="0.25">
      <c r="C35">
        <f t="shared" si="8"/>
        <v>58</v>
      </c>
      <c r="D35">
        <f t="shared" si="0"/>
        <v>-1.9441449377716609</v>
      </c>
      <c r="E35">
        <f t="shared" si="1"/>
        <v>37.155102155589404</v>
      </c>
      <c r="I35">
        <f t="shared" si="9"/>
        <v>58</v>
      </c>
      <c r="J35">
        <f t="shared" si="2"/>
        <v>39.099247093361072</v>
      </c>
      <c r="K35">
        <f t="shared" si="3"/>
        <v>37.155102155589404</v>
      </c>
      <c r="O35">
        <f t="shared" si="10"/>
        <v>58</v>
      </c>
      <c r="P35">
        <f t="shared" si="4"/>
        <v>34.699180340806038</v>
      </c>
      <c r="Q35">
        <f t="shared" si="5"/>
        <v>37.155102155589404</v>
      </c>
      <c r="U35">
        <f t="shared" si="11"/>
        <v>58</v>
      </c>
      <c r="V35">
        <f t="shared" si="6"/>
        <v>2.4559218147833697</v>
      </c>
      <c r="W35">
        <f t="shared" si="7"/>
        <v>37.155102155589404</v>
      </c>
    </row>
    <row r="36" spans="3:23" x14ac:dyDescent="0.25">
      <c r="C36">
        <f t="shared" si="8"/>
        <v>60</v>
      </c>
      <c r="D36">
        <f t="shared" si="0"/>
        <v>-2.1300395547904571</v>
      </c>
      <c r="E36">
        <f t="shared" si="1"/>
        <v>35.177376892182629</v>
      </c>
      <c r="I36">
        <f t="shared" si="9"/>
        <v>60</v>
      </c>
      <c r="J36">
        <f t="shared" si="2"/>
        <v>37.307416446973093</v>
      </c>
      <c r="K36">
        <f t="shared" si="3"/>
        <v>35.177376892182629</v>
      </c>
      <c r="O36">
        <f t="shared" si="10"/>
        <v>60</v>
      </c>
      <c r="P36">
        <f t="shared" si="4"/>
        <v>31.854066446225225</v>
      </c>
      <c r="Q36">
        <f t="shared" si="5"/>
        <v>35.177376892182629</v>
      </c>
      <c r="U36">
        <f t="shared" si="11"/>
        <v>60</v>
      </c>
      <c r="V36">
        <f t="shared" si="6"/>
        <v>3.3233104459574072</v>
      </c>
      <c r="W36">
        <f t="shared" si="7"/>
        <v>35.177376892182629</v>
      </c>
    </row>
    <row r="37" spans="3:23" x14ac:dyDescent="0.25">
      <c r="C37">
        <f t="shared" si="8"/>
        <v>62</v>
      </c>
      <c r="D37">
        <f t="shared" si="0"/>
        <v>-2.241198534122617</v>
      </c>
      <c r="E37">
        <f t="shared" si="1"/>
        <v>33.211441034787335</v>
      </c>
      <c r="I37">
        <f t="shared" si="9"/>
        <v>62</v>
      </c>
      <c r="J37">
        <f t="shared" si="2"/>
        <v>35.452639568909945</v>
      </c>
      <c r="K37">
        <f t="shared" si="3"/>
        <v>33.211441034787335</v>
      </c>
      <c r="O37">
        <f t="shared" si="10"/>
        <v>62</v>
      </c>
      <c r="P37">
        <f t="shared" si="4"/>
        <v>28.861881238629039</v>
      </c>
      <c r="Q37">
        <f t="shared" si="5"/>
        <v>33.211441034787335</v>
      </c>
      <c r="U37">
        <f t="shared" si="11"/>
        <v>62</v>
      </c>
      <c r="V37">
        <f t="shared" si="6"/>
        <v>4.3495597961582853</v>
      </c>
      <c r="W37">
        <f t="shared" si="7"/>
        <v>33.211441034787335</v>
      </c>
    </row>
    <row r="38" spans="3:23" x14ac:dyDescent="0.25">
      <c r="C38">
        <f t="shared" si="8"/>
        <v>64</v>
      </c>
      <c r="D38">
        <f t="shared" si="0"/>
        <v>-2.2654175614314127</v>
      </c>
      <c r="E38">
        <f t="shared" si="1"/>
        <v>31.261634303368297</v>
      </c>
      <c r="I38">
        <f t="shared" si="9"/>
        <v>64</v>
      </c>
      <c r="J38">
        <f t="shared" si="2"/>
        <v>33.527051864799716</v>
      </c>
      <c r="K38">
        <f t="shared" si="3"/>
        <v>31.261634303368297</v>
      </c>
      <c r="O38">
        <f t="shared" si="10"/>
        <v>64</v>
      </c>
      <c r="P38">
        <f t="shared" si="4"/>
        <v>25.73782350024748</v>
      </c>
      <c r="Q38">
        <f t="shared" si="5"/>
        <v>31.261634303368297</v>
      </c>
      <c r="U38">
        <f t="shared" si="11"/>
        <v>64</v>
      </c>
      <c r="V38">
        <f t="shared" si="6"/>
        <v>5.5238108031208242</v>
      </c>
      <c r="W38">
        <f t="shared" si="7"/>
        <v>31.261634303368297</v>
      </c>
    </row>
    <row r="39" spans="3:23" x14ac:dyDescent="0.25">
      <c r="C39">
        <f t="shared" si="8"/>
        <v>66</v>
      </c>
      <c r="D39">
        <f t="shared" si="0"/>
        <v>-2.1978550700798216</v>
      </c>
      <c r="E39">
        <f t="shared" si="1"/>
        <v>29.333128965115762</v>
      </c>
      <c r="I39">
        <f t="shared" si="9"/>
        <v>66</v>
      </c>
      <c r="J39">
        <f t="shared" si="2"/>
        <v>31.530984035195573</v>
      </c>
      <c r="K39">
        <f t="shared" si="3"/>
        <v>29.333128965115762</v>
      </c>
      <c r="O39">
        <f t="shared" si="10"/>
        <v>66</v>
      </c>
      <c r="P39">
        <f t="shared" si="4"/>
        <v>22.506460654300113</v>
      </c>
      <c r="Q39">
        <f t="shared" si="5"/>
        <v>29.333128965115762</v>
      </c>
      <c r="U39">
        <f t="shared" si="11"/>
        <v>66</v>
      </c>
      <c r="V39">
        <f t="shared" si="6"/>
        <v>6.8266683108156556</v>
      </c>
      <c r="W39">
        <f t="shared" si="7"/>
        <v>29.333128965115762</v>
      </c>
    </row>
    <row r="40" spans="3:23" x14ac:dyDescent="0.25">
      <c r="C40">
        <f t="shared" si="8"/>
        <v>68</v>
      </c>
      <c r="D40">
        <f t="shared" si="0"/>
        <v>-2.0409949112907135</v>
      </c>
      <c r="E40">
        <f t="shared" si="1"/>
        <v>27.431859980829216</v>
      </c>
      <c r="I40">
        <f t="shared" si="9"/>
        <v>68</v>
      </c>
      <c r="J40">
        <f t="shared" si="2"/>
        <v>29.472854892119926</v>
      </c>
      <c r="K40">
        <f t="shared" si="3"/>
        <v>27.431859980829216</v>
      </c>
      <c r="O40">
        <f t="shared" si="10"/>
        <v>68</v>
      </c>
      <c r="P40">
        <f t="shared" si="4"/>
        <v>19.200182909227173</v>
      </c>
      <c r="Q40">
        <f t="shared" si="5"/>
        <v>27.431859980829216</v>
      </c>
      <c r="U40">
        <f t="shared" si="11"/>
        <v>68</v>
      </c>
      <c r="V40">
        <f t="shared" si="6"/>
        <v>8.2316770716020429</v>
      </c>
      <c r="W40">
        <f t="shared" si="7"/>
        <v>27.431859980829216</v>
      </c>
    </row>
    <row r="41" spans="3:23" x14ac:dyDescent="0.25">
      <c r="C41">
        <f t="shared" si="8"/>
        <v>70</v>
      </c>
      <c r="D41">
        <f t="shared" si="0"/>
        <v>-1.8039342828964671</v>
      </c>
      <c r="E41">
        <f t="shared" si="1"/>
        <v>25.564394965934198</v>
      </c>
      <c r="I41">
        <f t="shared" si="9"/>
        <v>70</v>
      </c>
      <c r="J41">
        <f t="shared" si="2"/>
        <v>27.368329248830662</v>
      </c>
      <c r="K41">
        <f t="shared" si="3"/>
        <v>25.564394965934198</v>
      </c>
      <c r="O41">
        <f t="shared" si="10"/>
        <v>70</v>
      </c>
      <c r="P41">
        <f t="shared" si="4"/>
        <v>15.857015791124113</v>
      </c>
      <c r="Q41">
        <f t="shared" si="5"/>
        <v>25.564394965934198</v>
      </c>
      <c r="U41">
        <f t="shared" si="11"/>
        <v>70</v>
      </c>
      <c r="V41">
        <f t="shared" si="6"/>
        <v>9.7073791748101002</v>
      </c>
      <c r="W41">
        <f t="shared" si="7"/>
        <v>25.564394965934198</v>
      </c>
    </row>
    <row r="42" spans="3:23" x14ac:dyDescent="0.25">
      <c r="C42">
        <f t="shared" si="8"/>
        <v>72</v>
      </c>
      <c r="D42">
        <f t="shared" si="0"/>
        <v>-1.5010849072132721</v>
      </c>
      <c r="E42">
        <f t="shared" si="1"/>
        <v>23.737750881733973</v>
      </c>
      <c r="I42">
        <f t="shared" si="9"/>
        <v>72</v>
      </c>
      <c r="J42">
        <f t="shared" si="2"/>
        <v>25.238835788947242</v>
      </c>
      <c r="K42">
        <f t="shared" si="3"/>
        <v>23.737750881733973</v>
      </c>
      <c r="O42">
        <f t="shared" si="10"/>
        <v>72</v>
      </c>
      <c r="P42">
        <f t="shared" si="4"/>
        <v>12.518096524242146</v>
      </c>
      <c r="Q42">
        <f t="shared" si="5"/>
        <v>23.737750881733973</v>
      </c>
      <c r="U42">
        <f t="shared" si="11"/>
        <v>72</v>
      </c>
      <c r="V42">
        <f t="shared" si="6"/>
        <v>11.219654357491834</v>
      </c>
      <c r="W42">
        <f t="shared" si="7"/>
        <v>23.737750881733973</v>
      </c>
    </row>
    <row r="43" spans="3:23" x14ac:dyDescent="0.25">
      <c r="C43">
        <f t="shared" si="8"/>
        <v>74</v>
      </c>
      <c r="D43">
        <f t="shared" si="0"/>
        <v>-1.1501742753604329</v>
      </c>
      <c r="E43">
        <f t="shared" si="1"/>
        <v>21.959169914783757</v>
      </c>
      <c r="I43">
        <f t="shared" si="9"/>
        <v>74</v>
      </c>
      <c r="J43">
        <f t="shared" si="2"/>
        <v>23.109344190144185</v>
      </c>
      <c r="K43">
        <f t="shared" si="3"/>
        <v>21.959169914783757</v>
      </c>
      <c r="O43">
        <f t="shared" si="10"/>
        <v>74</v>
      </c>
      <c r="P43">
        <f t="shared" si="4"/>
        <v>9.2251170687383759</v>
      </c>
      <c r="Q43">
        <f t="shared" si="5"/>
        <v>21.959169914783757</v>
      </c>
      <c r="U43">
        <f t="shared" si="11"/>
        <v>74</v>
      </c>
      <c r="V43">
        <f t="shared" si="6"/>
        <v>12.734052846045387</v>
      </c>
      <c r="W43">
        <f t="shared" si="7"/>
        <v>21.959169914783757</v>
      </c>
    </row>
    <row r="44" spans="3:23" x14ac:dyDescent="0.25">
      <c r="C44">
        <f t="shared" si="8"/>
        <v>76</v>
      </c>
      <c r="D44">
        <f t="shared" si="0"/>
        <v>-0.77053057176599715</v>
      </c>
      <c r="E44">
        <f t="shared" si="1"/>
        <v>20.23587083451612</v>
      </c>
      <c r="I44">
        <f t="shared" si="9"/>
        <v>76</v>
      </c>
      <c r="J44">
        <f t="shared" si="2"/>
        <v>21.006401406282123</v>
      </c>
      <c r="K44">
        <f t="shared" si="3"/>
        <v>20.23587083451612</v>
      </c>
      <c r="O44">
        <f t="shared" si="10"/>
        <v>76</v>
      </c>
      <c r="P44">
        <f t="shared" si="4"/>
        <v>6.0179487426148963</v>
      </c>
      <c r="Q44">
        <f t="shared" si="5"/>
        <v>20.23587083451612</v>
      </c>
      <c r="U44">
        <f t="shared" si="11"/>
        <v>76</v>
      </c>
      <c r="V44">
        <f t="shared" si="6"/>
        <v>14.217922091901215</v>
      </c>
      <c r="W44">
        <f t="shared" si="7"/>
        <v>20.23587083451612</v>
      </c>
    </row>
    <row r="45" spans="3:23" x14ac:dyDescent="0.25">
      <c r="C45">
        <f t="shared" si="8"/>
        <v>78</v>
      </c>
      <c r="D45">
        <f t="shared" si="0"/>
        <v>-0.38125989863121301</v>
      </c>
      <c r="E45">
        <f t="shared" si="1"/>
        <v>18.574793898149181</v>
      </c>
      <c r="I45">
        <f t="shared" si="9"/>
        <v>78</v>
      </c>
      <c r="J45">
        <f t="shared" si="2"/>
        <v>18.956053796780395</v>
      </c>
      <c r="K45">
        <f t="shared" si="3"/>
        <v>18.574793898149181</v>
      </c>
      <c r="O45">
        <f t="shared" si="10"/>
        <v>78</v>
      </c>
      <c r="P45">
        <f t="shared" si="4"/>
        <v>2.9326107352796509</v>
      </c>
      <c r="Q45">
        <f t="shared" si="5"/>
        <v>18.574793898149181</v>
      </c>
      <c r="U45">
        <f t="shared" si="11"/>
        <v>78</v>
      </c>
      <c r="V45">
        <f t="shared" si="6"/>
        <v>15.642183162869529</v>
      </c>
      <c r="W45">
        <f t="shared" si="7"/>
        <v>18.574793898149181</v>
      </c>
    </row>
    <row r="46" spans="3:23" x14ac:dyDescent="0.25">
      <c r="C46">
        <f t="shared" si="8"/>
        <v>80</v>
      </c>
      <c r="D46">
        <f t="shared" si="0"/>
        <v>-1.6789838908150452E-15</v>
      </c>
      <c r="E46">
        <f t="shared" si="1"/>
        <v>16.982357108429234</v>
      </c>
      <c r="I46">
        <f t="shared" si="9"/>
        <v>80</v>
      </c>
      <c r="J46">
        <f t="shared" si="2"/>
        <v>16.982357108429241</v>
      </c>
      <c r="K46">
        <f t="shared" si="3"/>
        <v>16.982357108429234</v>
      </c>
      <c r="O46">
        <f t="shared" si="10"/>
        <v>80</v>
      </c>
      <c r="P46">
        <f t="shared" si="4"/>
        <v>0</v>
      </c>
      <c r="Q46">
        <f t="shared" si="5"/>
        <v>16.982357108429234</v>
      </c>
      <c r="U46">
        <f t="shared" si="11"/>
        <v>80</v>
      </c>
      <c r="V46">
        <f t="shared" si="6"/>
        <v>16.982357108429234</v>
      </c>
      <c r="W46">
        <f t="shared" si="7"/>
        <v>16.982357108429234</v>
      </c>
    </row>
    <row r="47" spans="3:23" x14ac:dyDescent="0.25">
      <c r="C47">
        <f t="shared" si="8"/>
        <v>82</v>
      </c>
      <c r="D47">
        <f t="shared" si="0"/>
        <v>0.35827937365017526</v>
      </c>
      <c r="E47">
        <f t="shared" si="1"/>
        <v>15.464239621189492</v>
      </c>
      <c r="I47">
        <f t="shared" si="9"/>
        <v>82</v>
      </c>
      <c r="J47">
        <f t="shared" si="2"/>
        <v>15.105960247539315</v>
      </c>
      <c r="K47">
        <f t="shared" si="3"/>
        <v>15.464239621189492</v>
      </c>
      <c r="O47">
        <f t="shared" si="10"/>
        <v>82</v>
      </c>
      <c r="P47">
        <f t="shared" si="4"/>
        <v>-2.75519028302873</v>
      </c>
      <c r="Q47">
        <f t="shared" si="5"/>
        <v>15.464239621189492</v>
      </c>
      <c r="U47">
        <f t="shared" si="11"/>
        <v>82</v>
      </c>
      <c r="V47">
        <f t="shared" si="6"/>
        <v>18.219429904218217</v>
      </c>
      <c r="W47">
        <f t="shared" si="7"/>
        <v>15.464239621189492</v>
      </c>
    </row>
    <row r="48" spans="3:23" x14ac:dyDescent="0.25">
      <c r="C48">
        <f t="shared" si="8"/>
        <v>84</v>
      </c>
      <c r="D48">
        <f t="shared" si="0"/>
        <v>0.68181014518316552</v>
      </c>
      <c r="E48">
        <f t="shared" si="1"/>
        <v>14.025204826438625</v>
      </c>
      <c r="I48">
        <f t="shared" si="9"/>
        <v>84</v>
      </c>
      <c r="J48">
        <f t="shared" si="2"/>
        <v>13.343394681255468</v>
      </c>
      <c r="K48">
        <f t="shared" si="3"/>
        <v>14.025204826438625</v>
      </c>
      <c r="O48">
        <f t="shared" si="10"/>
        <v>84</v>
      </c>
      <c r="P48">
        <f t="shared" si="4"/>
        <v>-5.3147799499174937</v>
      </c>
      <c r="Q48">
        <f t="shared" si="5"/>
        <v>14.025204826438625</v>
      </c>
      <c r="U48">
        <f t="shared" si="11"/>
        <v>84</v>
      </c>
      <c r="V48">
        <f t="shared" si="6"/>
        <v>19.339984776356118</v>
      </c>
      <c r="W48">
        <f t="shared" si="7"/>
        <v>14.025204826438625</v>
      </c>
    </row>
    <row r="49" spans="3:23" x14ac:dyDescent="0.25">
      <c r="C49">
        <f t="shared" si="8"/>
        <v>86</v>
      </c>
      <c r="D49">
        <f t="shared" si="0"/>
        <v>0.96219045262739122</v>
      </c>
      <c r="E49">
        <f t="shared" si="1"/>
        <v>12.668971642474865</v>
      </c>
      <c r="I49">
        <f t="shared" si="9"/>
        <v>86</v>
      </c>
      <c r="J49">
        <f t="shared" si="2"/>
        <v>11.706781189847469</v>
      </c>
      <c r="K49">
        <f t="shared" si="3"/>
        <v>12.668971642474865</v>
      </c>
      <c r="O49">
        <f t="shared" si="10"/>
        <v>86</v>
      </c>
      <c r="P49">
        <f t="shared" si="4"/>
        <v>-7.6669699360935848</v>
      </c>
      <c r="Q49">
        <f t="shared" si="5"/>
        <v>12.668971642474865</v>
      </c>
      <c r="U49">
        <f t="shared" si="11"/>
        <v>86</v>
      </c>
      <c r="V49">
        <f t="shared" si="6"/>
        <v>20.335941578568452</v>
      </c>
      <c r="W49">
        <f t="shared" si="7"/>
        <v>12.668971642474865</v>
      </c>
    </row>
    <row r="50" spans="3:23" x14ac:dyDescent="0.25">
      <c r="C50">
        <f t="shared" si="8"/>
        <v>88</v>
      </c>
      <c r="D50">
        <f t="shared" si="0"/>
        <v>1.1944631391382305</v>
      </c>
      <c r="E50">
        <f t="shared" si="1"/>
        <v>11.398138399975856</v>
      </c>
      <c r="I50">
        <f t="shared" si="9"/>
        <v>88</v>
      </c>
      <c r="J50">
        <f t="shared" si="2"/>
        <v>10.203675260837628</v>
      </c>
      <c r="K50">
        <f t="shared" si="3"/>
        <v>11.398138399975856</v>
      </c>
      <c r="O50">
        <f t="shared" si="10"/>
        <v>88</v>
      </c>
      <c r="P50">
        <f t="shared" si="4"/>
        <v>-9.8060810245115739</v>
      </c>
      <c r="Q50">
        <f t="shared" si="5"/>
        <v>11.398138399975856</v>
      </c>
      <c r="U50">
        <f t="shared" si="11"/>
        <v>88</v>
      </c>
      <c r="V50">
        <f t="shared" si="6"/>
        <v>21.204219424487448</v>
      </c>
      <c r="W50">
        <f t="shared" si="7"/>
        <v>11.398138399975856</v>
      </c>
    </row>
    <row r="51" spans="3:23" x14ac:dyDescent="0.25">
      <c r="C51">
        <f t="shared" si="8"/>
        <v>90</v>
      </c>
      <c r="D51">
        <f t="shared" si="0"/>
        <v>1.3766945364029262</v>
      </c>
      <c r="E51">
        <f t="shared" si="1"/>
        <v>10.214159796600256</v>
      </c>
      <c r="I51">
        <f t="shared" si="9"/>
        <v>90</v>
      </c>
      <c r="J51">
        <f t="shared" si="2"/>
        <v>8.8374652601973267</v>
      </c>
      <c r="K51">
        <f t="shared" si="3"/>
        <v>10.214159796600256</v>
      </c>
      <c r="O51">
        <f t="shared" si="10"/>
        <v>90</v>
      </c>
      <c r="P51">
        <f t="shared" si="4"/>
        <v>-11.731771787743028</v>
      </c>
      <c r="Q51">
        <f t="shared" si="5"/>
        <v>10.214159796600256</v>
      </c>
      <c r="U51">
        <f t="shared" si="11"/>
        <v>90</v>
      </c>
      <c r="V51">
        <f t="shared" si="6"/>
        <v>21.945931584343285</v>
      </c>
      <c r="W51">
        <f t="shared" si="7"/>
        <v>10.214159796600256</v>
      </c>
    </row>
    <row r="52" spans="3:23" x14ac:dyDescent="0.25">
      <c r="C52">
        <f t="shared" si="8"/>
        <v>92</v>
      </c>
      <c r="D52">
        <f t="shared" si="0"/>
        <v>1.5095417903699229</v>
      </c>
      <c r="E52">
        <f t="shared" si="1"/>
        <v>9.1173740923861288</v>
      </c>
      <c r="I52">
        <f t="shared" si="9"/>
        <v>92</v>
      </c>
      <c r="J52">
        <f t="shared" si="2"/>
        <v>7.607832302016206</v>
      </c>
      <c r="K52">
        <f t="shared" si="3"/>
        <v>9.1173740923861288</v>
      </c>
      <c r="O52">
        <f t="shared" si="10"/>
        <v>92</v>
      </c>
      <c r="P52">
        <f t="shared" si="4"/>
        <v>-13.448240164310569</v>
      </c>
      <c r="Q52">
        <f t="shared" si="5"/>
        <v>9.1173740923861288</v>
      </c>
      <c r="U52">
        <f t="shared" si="11"/>
        <v>92</v>
      </c>
      <c r="V52">
        <f t="shared" si="6"/>
        <v>22.565614256696691</v>
      </c>
      <c r="W52">
        <f t="shared" si="7"/>
        <v>9.1173740923861288</v>
      </c>
    </row>
    <row r="53" spans="3:23" x14ac:dyDescent="0.25">
      <c r="C53">
        <f t="shared" si="8"/>
        <v>94</v>
      </c>
      <c r="D53">
        <f t="shared" si="0"/>
        <v>1.5957468601326283</v>
      </c>
      <c r="E53">
        <f t="shared" si="1"/>
        <v>8.1070651744716429</v>
      </c>
      <c r="I53">
        <f t="shared" si="9"/>
        <v>94</v>
      </c>
      <c r="J53">
        <f t="shared" si="2"/>
        <v>6.5113183143390252</v>
      </c>
      <c r="K53">
        <f t="shared" si="3"/>
        <v>8.1070651744716429</v>
      </c>
      <c r="O53">
        <f t="shared" si="10"/>
        <v>94</v>
      </c>
      <c r="P53">
        <f t="shared" si="4"/>
        <v>-14.963368127555555</v>
      </c>
      <c r="Q53">
        <f t="shared" si="5"/>
        <v>8.1070651744716429</v>
      </c>
      <c r="U53">
        <f t="shared" si="11"/>
        <v>94</v>
      </c>
      <c r="V53">
        <f t="shared" si="6"/>
        <v>23.070433302027212</v>
      </c>
      <c r="W53">
        <f t="shared" si="7"/>
        <v>8.1070651744716429</v>
      </c>
    </row>
    <row r="54" spans="3:23" x14ac:dyDescent="0.25">
      <c r="C54">
        <f t="shared" si="8"/>
        <v>96</v>
      </c>
      <c r="D54">
        <f t="shared" si="0"/>
        <v>1.6394959154836606</v>
      </c>
      <c r="E54">
        <f t="shared" si="1"/>
        <v>7.1814796802911189</v>
      </c>
      <c r="I54">
        <f t="shared" si="9"/>
        <v>96</v>
      </c>
      <c r="J54">
        <f t="shared" si="2"/>
        <v>5.5419837648074548</v>
      </c>
      <c r="K54">
        <f t="shared" si="3"/>
        <v>7.1814796802911189</v>
      </c>
      <c r="O54">
        <f t="shared" si="10"/>
        <v>96</v>
      </c>
      <c r="P54">
        <f t="shared" si="4"/>
        <v>-16.28782854886521</v>
      </c>
      <c r="Q54">
        <f t="shared" si="5"/>
        <v>7.1814796802911189</v>
      </c>
      <c r="U54">
        <f t="shared" si="11"/>
        <v>96</v>
      </c>
      <c r="V54">
        <f t="shared" si="6"/>
        <v>23.469308229156326</v>
      </c>
      <c r="W54">
        <f t="shared" si="7"/>
        <v>7.1814796802911189</v>
      </c>
    </row>
    <row r="55" spans="3:23" x14ac:dyDescent="0.25">
      <c r="C55">
        <f t="shared" si="8"/>
        <v>98</v>
      </c>
      <c r="D55">
        <f t="shared" si="0"/>
        <v>1.6459918432019123</v>
      </c>
      <c r="E55">
        <f t="shared" si="1"/>
        <v>6.3380457731726025</v>
      </c>
      <c r="I55">
        <f t="shared" si="9"/>
        <v>98</v>
      </c>
      <c r="J55">
        <f t="shared" si="2"/>
        <v>4.6920539299706938</v>
      </c>
      <c r="K55">
        <f t="shared" si="3"/>
        <v>6.3380457731726025</v>
      </c>
      <c r="O55">
        <f t="shared" si="10"/>
        <v>98</v>
      </c>
      <c r="P55">
        <f t="shared" si="4"/>
        <v>-17.434252359343908</v>
      </c>
      <c r="Q55">
        <f t="shared" si="5"/>
        <v>6.3380457731726025</v>
      </c>
      <c r="U55">
        <f t="shared" si="11"/>
        <v>98</v>
      </c>
      <c r="V55">
        <f t="shared" si="6"/>
        <v>23.772298132516525</v>
      </c>
      <c r="W55">
        <f t="shared" si="7"/>
        <v>6.3380457731726025</v>
      </c>
    </row>
    <row r="56" spans="3:23" x14ac:dyDescent="0.25">
      <c r="C56">
        <f t="shared" si="8"/>
        <v>100</v>
      </c>
      <c r="D56">
        <f t="shared" si="0"/>
        <v>1.6210008527303685</v>
      </c>
      <c r="E56">
        <f t="shared" si="1"/>
        <v>5.5735181169306571</v>
      </c>
      <c r="I56">
        <f t="shared" si="9"/>
        <v>100</v>
      </c>
      <c r="J56">
        <f t="shared" si="2"/>
        <v>3.9525172642002904</v>
      </c>
      <c r="K56">
        <f t="shared" si="3"/>
        <v>5.5735181169306571</v>
      </c>
      <c r="O56">
        <f t="shared" si="10"/>
        <v>100</v>
      </c>
      <c r="P56">
        <f t="shared" si="4"/>
        <v>-18.416487340622364</v>
      </c>
      <c r="Q56">
        <f t="shared" si="5"/>
        <v>5.5735181169306571</v>
      </c>
      <c r="U56">
        <f t="shared" si="11"/>
        <v>100</v>
      </c>
      <c r="V56">
        <f t="shared" si="6"/>
        <v>23.990005457553025</v>
      </c>
      <c r="W56">
        <f t="shared" si="7"/>
        <v>5.5735181169306571</v>
      </c>
    </row>
    <row r="57" spans="3:23" x14ac:dyDescent="0.25">
      <c r="C57">
        <f t="shared" si="8"/>
        <v>102</v>
      </c>
      <c r="D57">
        <f t="shared" si="0"/>
        <v>1.5703568204096641</v>
      </c>
      <c r="E57">
        <f t="shared" si="1"/>
        <v>4.8840089414343169</v>
      </c>
      <c r="I57">
        <f t="shared" si="9"/>
        <v>102</v>
      </c>
      <c r="J57">
        <f t="shared" si="2"/>
        <v>3.3136521210246546</v>
      </c>
      <c r="K57">
        <f t="shared" si="3"/>
        <v>4.8840089414343169</v>
      </c>
      <c r="O57">
        <f t="shared" si="10"/>
        <v>102</v>
      </c>
      <c r="P57">
        <f t="shared" si="4"/>
        <v>-19.248966190406296</v>
      </c>
      <c r="Q57">
        <f t="shared" si="5"/>
        <v>4.8840089414343169</v>
      </c>
      <c r="U57">
        <f t="shared" si="11"/>
        <v>102</v>
      </c>
      <c r="V57">
        <f t="shared" si="6"/>
        <v>24.132975131840617</v>
      </c>
      <c r="W57">
        <f t="shared" si="7"/>
        <v>4.8840089414343169</v>
      </c>
    </row>
    <row r="58" spans="3:23" x14ac:dyDescent="0.25">
      <c r="C58">
        <f t="shared" si="8"/>
        <v>104</v>
      </c>
      <c r="D58">
        <f t="shared" si="0"/>
        <v>1.4997235741094812</v>
      </c>
      <c r="E58">
        <f t="shared" si="1"/>
        <v>4.2651928807868167</v>
      </c>
      <c r="I58">
        <f t="shared" si="9"/>
        <v>104</v>
      </c>
      <c r="J58">
        <f t="shared" si="2"/>
        <v>2.7654693066773355</v>
      </c>
      <c r="K58">
        <f t="shared" si="3"/>
        <v>4.2651928807868167</v>
      </c>
      <c r="O58">
        <f t="shared" si="10"/>
        <v>104</v>
      </c>
      <c r="P58">
        <f t="shared" si="4"/>
        <v>-19.946190074285742</v>
      </c>
      <c r="Q58">
        <f t="shared" si="5"/>
        <v>4.2651928807868167</v>
      </c>
      <c r="U58">
        <f t="shared" si="11"/>
        <v>104</v>
      </c>
      <c r="V58">
        <f t="shared" si="6"/>
        <v>24.211382955072551</v>
      </c>
      <c r="W58">
        <f t="shared" si="7"/>
        <v>4.2651928807868167</v>
      </c>
    </row>
    <row r="59" spans="3:23" x14ac:dyDescent="0.25">
      <c r="C59">
        <f t="shared" si="8"/>
        <v>106</v>
      </c>
      <c r="D59">
        <f t="shared" si="0"/>
        <v>1.414380565678492</v>
      </c>
      <c r="E59">
        <f t="shared" si="1"/>
        <v>3.7124475553858112</v>
      </c>
      <c r="I59">
        <f t="shared" si="9"/>
        <v>106</v>
      </c>
      <c r="J59">
        <f t="shared" si="2"/>
        <v>2.2980669897073209</v>
      </c>
      <c r="K59">
        <f t="shared" si="3"/>
        <v>3.7124475553858112</v>
      </c>
      <c r="O59">
        <f t="shared" si="10"/>
        <v>106</v>
      </c>
      <c r="P59">
        <f t="shared" si="4"/>
        <v>-20.522325129724273</v>
      </c>
      <c r="Q59">
        <f t="shared" si="5"/>
        <v>3.7124475553858112</v>
      </c>
      <c r="U59">
        <f t="shared" si="11"/>
        <v>106</v>
      </c>
      <c r="V59">
        <f t="shared" si="6"/>
        <v>24.23477268511008</v>
      </c>
      <c r="W59">
        <f t="shared" si="7"/>
        <v>3.7124475553858112</v>
      </c>
    </row>
    <row r="60" spans="3:23" x14ac:dyDescent="0.25">
      <c r="C60">
        <f t="shared" si="8"/>
        <v>108</v>
      </c>
      <c r="D60">
        <f t="shared" si="0"/>
        <v>1.3190710852098988</v>
      </c>
      <c r="E60">
        <f t="shared" si="1"/>
        <v>3.2209722500987468</v>
      </c>
      <c r="I60">
        <f t="shared" si="9"/>
        <v>108</v>
      </c>
      <c r="J60">
        <f t="shared" si="2"/>
        <v>1.9019011648888489</v>
      </c>
      <c r="K60">
        <f t="shared" si="3"/>
        <v>3.2209722500987468</v>
      </c>
      <c r="O60">
        <f t="shared" si="10"/>
        <v>108</v>
      </c>
      <c r="P60">
        <f t="shared" si="4"/>
        <v>-20.990903304836937</v>
      </c>
      <c r="Q60">
        <f t="shared" si="5"/>
        <v>3.2209722500987468</v>
      </c>
      <c r="U60">
        <f t="shared" si="11"/>
        <v>108</v>
      </c>
      <c r="V60">
        <f t="shared" si="6"/>
        <v>24.211875554935673</v>
      </c>
      <c r="W60">
        <f t="shared" si="7"/>
        <v>3.2209722500987468</v>
      </c>
    </row>
    <row r="61" spans="3:23" x14ac:dyDescent="0.25">
      <c r="C61">
        <f t="shared" si="8"/>
        <v>110</v>
      </c>
      <c r="D61">
        <f t="shared" si="0"/>
        <v>1.2179174380817983</v>
      </c>
      <c r="E61">
        <f t="shared" si="1"/>
        <v>2.7858967581576799</v>
      </c>
      <c r="I61">
        <f t="shared" si="9"/>
        <v>110</v>
      </c>
      <c r="J61">
        <f t="shared" si="2"/>
        <v>1.5679793200758843</v>
      </c>
      <c r="K61">
        <f t="shared" si="3"/>
        <v>2.7858967581576799</v>
      </c>
      <c r="O61">
        <f t="shared" si="10"/>
        <v>110</v>
      </c>
      <c r="P61">
        <f t="shared" si="4"/>
        <v>-21.3646151933441</v>
      </c>
      <c r="Q61">
        <f t="shared" si="5"/>
        <v>2.7858967581576799</v>
      </c>
      <c r="U61">
        <f t="shared" si="11"/>
        <v>110</v>
      </c>
      <c r="V61">
        <f t="shared" si="6"/>
        <v>24.150511951501777</v>
      </c>
      <c r="W61">
        <f t="shared" si="7"/>
        <v>2.7858967581576799</v>
      </c>
    </row>
    <row r="62" spans="3:23" x14ac:dyDescent="0.25">
      <c r="C62">
        <f t="shared" si="8"/>
        <v>112</v>
      </c>
      <c r="D62">
        <f t="shared" si="0"/>
        <v>1.1143895041840093</v>
      </c>
      <c r="E62">
        <f t="shared" si="1"/>
        <v>2.402377012805534</v>
      </c>
      <c r="I62">
        <f t="shared" si="9"/>
        <v>112</v>
      </c>
      <c r="J62">
        <f t="shared" si="2"/>
        <v>1.2879875086215229</v>
      </c>
      <c r="K62">
        <f t="shared" si="3"/>
        <v>2.402377012805534</v>
      </c>
      <c r="O62">
        <f t="shared" si="10"/>
        <v>112</v>
      </c>
      <c r="P62">
        <f t="shared" si="4"/>
        <v>-21.655180735207423</v>
      </c>
      <c r="Q62">
        <f t="shared" si="5"/>
        <v>2.402377012805534</v>
      </c>
      <c r="U62">
        <f t="shared" si="11"/>
        <v>112</v>
      </c>
      <c r="V62">
        <f t="shared" si="6"/>
        <v>24.057557748012947</v>
      </c>
      <c r="W62">
        <f t="shared" si="7"/>
        <v>2.402377012805534</v>
      </c>
    </row>
    <row r="63" spans="3:23" x14ac:dyDescent="0.25">
      <c r="C63">
        <f t="shared" si="8"/>
        <v>114</v>
      </c>
      <c r="D63">
        <f t="shared" si="0"/>
        <v>1.0113136988720637</v>
      </c>
      <c r="E63">
        <f t="shared" si="1"/>
        <v>2.0656757871608455</v>
      </c>
      <c r="I63">
        <f t="shared" si="9"/>
        <v>114</v>
      </c>
      <c r="J63">
        <f t="shared" si="2"/>
        <v>1.0543620882887854</v>
      </c>
      <c r="K63">
        <f t="shared" si="3"/>
        <v>2.0656757871608455</v>
      </c>
      <c r="O63">
        <f t="shared" si="10"/>
        <v>114</v>
      </c>
      <c r="P63">
        <f t="shared" si="4"/>
        <v>-21.873283322787596</v>
      </c>
      <c r="Q63">
        <f t="shared" si="5"/>
        <v>2.0656757871608455</v>
      </c>
      <c r="U63">
        <f t="shared" si="11"/>
        <v>114</v>
      </c>
      <c r="V63">
        <f t="shared" si="6"/>
        <v>23.938959109948442</v>
      </c>
      <c r="W63">
        <f t="shared" si="7"/>
        <v>2.0656757871608455</v>
      </c>
    </row>
    <row r="64" spans="3:23" x14ac:dyDescent="0.25">
      <c r="C64">
        <f t="shared" si="8"/>
        <v>116</v>
      </c>
      <c r="D64">
        <f t="shared" si="0"/>
        <v>0.91091064270080047</v>
      </c>
      <c r="E64">
        <f t="shared" si="1"/>
        <v>1.7712279948731933</v>
      </c>
      <c r="I64">
        <f t="shared" si="9"/>
        <v>116</v>
      </c>
      <c r="J64">
        <f t="shared" si="2"/>
        <v>0.86031735217239325</v>
      </c>
      <c r="K64">
        <f t="shared" si="3"/>
        <v>1.7712279948731933</v>
      </c>
      <c r="O64">
        <f t="shared" si="10"/>
        <v>116</v>
      </c>
      <c r="P64">
        <f t="shared" si="4"/>
        <v>-22.028553545431819</v>
      </c>
      <c r="Q64">
        <f t="shared" si="5"/>
        <v>1.7712279948731933</v>
      </c>
      <c r="U64">
        <f t="shared" si="11"/>
        <v>116</v>
      </c>
      <c r="V64">
        <f t="shared" si="6"/>
        <v>23.799781540305013</v>
      </c>
      <c r="W64">
        <f t="shared" si="7"/>
        <v>1.7712279948731933</v>
      </c>
    </row>
    <row r="65" spans="3:23" x14ac:dyDescent="0.25">
      <c r="C65">
        <f t="shared" si="8"/>
        <v>118</v>
      </c>
      <c r="D65">
        <f t="shared" si="0"/>
        <v>0.81485152436032493</v>
      </c>
      <c r="E65">
        <f t="shared" si="1"/>
        <v>1.5146910329615295</v>
      </c>
      <c r="I65">
        <f t="shared" si="9"/>
        <v>118</v>
      </c>
      <c r="J65">
        <f t="shared" si="2"/>
        <v>0.69983950860120547</v>
      </c>
      <c r="K65">
        <f t="shared" si="3"/>
        <v>1.5146910329615295</v>
      </c>
      <c r="O65">
        <f t="shared" si="10"/>
        <v>118</v>
      </c>
      <c r="P65">
        <f t="shared" si="4"/>
        <v>-22.129590143366908</v>
      </c>
      <c r="Q65">
        <f t="shared" si="5"/>
        <v>1.5146910329615295</v>
      </c>
      <c r="U65">
        <f t="shared" si="11"/>
        <v>118</v>
      </c>
      <c r="V65">
        <f t="shared" si="6"/>
        <v>23.644281176328448</v>
      </c>
      <c r="W65">
        <f t="shared" si="7"/>
        <v>1.5146910329615295</v>
      </c>
    </row>
    <row r="66" spans="3:23" x14ac:dyDescent="0.25">
      <c r="C66">
        <f t="shared" si="8"/>
        <v>120</v>
      </c>
      <c r="D66">
        <f t="shared" si="0"/>
        <v>0.72432496796707824</v>
      </c>
      <c r="E66">
        <f t="shared" si="1"/>
        <v>1.2919812317463553</v>
      </c>
      <c r="I66">
        <f t="shared" si="9"/>
        <v>120</v>
      </c>
      <c r="J66">
        <f t="shared" si="2"/>
        <v>0.56765626377927747</v>
      </c>
      <c r="K66">
        <f t="shared" si="3"/>
        <v>1.2919812317463553</v>
      </c>
      <c r="O66">
        <f t="shared" si="10"/>
        <v>120</v>
      </c>
      <c r="P66">
        <f t="shared" si="4"/>
        <v>-22.184007422295487</v>
      </c>
      <c r="Q66">
        <f t="shared" si="5"/>
        <v>1.2919812317463553</v>
      </c>
      <c r="U66">
        <f t="shared" si="11"/>
        <v>120</v>
      </c>
      <c r="V66">
        <f t="shared" si="6"/>
        <v>23.475988654041842</v>
      </c>
      <c r="W66">
        <f t="shared" si="7"/>
        <v>1.2919812317463553</v>
      </c>
    </row>
    <row r="67" spans="3:23" x14ac:dyDescent="0.25">
      <c r="C67">
        <f t="shared" si="8"/>
        <v>122</v>
      </c>
      <c r="D67">
        <f t="shared" si="0"/>
        <v>0.64010801459921218</v>
      </c>
      <c r="E67">
        <f t="shared" si="1"/>
        <v>1.0992978683785761</v>
      </c>
      <c r="I67">
        <f t="shared" si="9"/>
        <v>122</v>
      </c>
      <c r="J67">
        <f t="shared" si="2"/>
        <v>0.45918985377936394</v>
      </c>
      <c r="K67">
        <f t="shared" si="3"/>
        <v>1.0992978683785761</v>
      </c>
      <c r="O67">
        <f t="shared" si="10"/>
        <v>122</v>
      </c>
      <c r="P67">
        <f t="shared" si="4"/>
        <v>-22.198500176793452</v>
      </c>
      <c r="Q67">
        <f t="shared" si="5"/>
        <v>1.0992978683785761</v>
      </c>
      <c r="U67">
        <f t="shared" si="11"/>
        <v>122</v>
      </c>
      <c r="V67">
        <f t="shared" si="6"/>
        <v>23.29779804517203</v>
      </c>
      <c r="W67">
        <f t="shared" si="7"/>
        <v>1.0992978683785761</v>
      </c>
    </row>
    <row r="68" spans="3:23" x14ac:dyDescent="0.25">
      <c r="C68">
        <f t="shared" si="8"/>
        <v>124</v>
      </c>
      <c r="D68">
        <f t="shared" si="0"/>
        <v>0.56263648052803106</v>
      </c>
      <c r="E68">
        <f t="shared" si="1"/>
        <v>0.93313640860719005</v>
      </c>
      <c r="I68">
        <f t="shared" si="9"/>
        <v>124</v>
      </c>
      <c r="J68">
        <f t="shared" si="2"/>
        <v>0.37049992807915721</v>
      </c>
      <c r="K68">
        <f t="shared" si="3"/>
        <v>0.93313640860719005</v>
      </c>
      <c r="O68">
        <f t="shared" si="10"/>
        <v>124</v>
      </c>
      <c r="P68">
        <f t="shared" si="4"/>
        <v>-22.178918925688869</v>
      </c>
      <c r="Q68">
        <f t="shared" si="5"/>
        <v>0.93313640860719005</v>
      </c>
      <c r="U68">
        <f t="shared" si="11"/>
        <v>124</v>
      </c>
      <c r="V68">
        <f t="shared" si="6"/>
        <v>23.112055334296059</v>
      </c>
      <c r="W68">
        <f t="shared" si="7"/>
        <v>0.93313640860719005</v>
      </c>
    </row>
    <row r="69" spans="3:23" x14ac:dyDescent="0.25">
      <c r="C69">
        <f t="shared" si="8"/>
        <v>126</v>
      </c>
      <c r="D69">
        <f t="shared" si="0"/>
        <v>0.4920713927949194</v>
      </c>
      <c r="E69">
        <f t="shared" si="1"/>
        <v>0.79029270923805583</v>
      </c>
      <c r="I69">
        <f t="shared" si="9"/>
        <v>126</v>
      </c>
      <c r="J69">
        <f t="shared" si="2"/>
        <v>0.2982213164431371</v>
      </c>
      <c r="K69">
        <f t="shared" si="3"/>
        <v>0.79029270923805583</v>
      </c>
      <c r="O69">
        <f t="shared" si="10"/>
        <v>126</v>
      </c>
      <c r="P69">
        <f t="shared" si="4"/>
        <v>-22.130349875574154</v>
      </c>
      <c r="Q69">
        <f t="shared" si="5"/>
        <v>0.79029270923805583</v>
      </c>
      <c r="U69">
        <f t="shared" si="11"/>
        <v>126</v>
      </c>
      <c r="V69">
        <f t="shared" si="6"/>
        <v>22.920642584812221</v>
      </c>
      <c r="W69">
        <f t="shared" si="7"/>
        <v>0.79029270923805583</v>
      </c>
    </row>
    <row r="70" spans="3:23" x14ac:dyDescent="0.25">
      <c r="C70">
        <f t="shared" si="8"/>
        <v>128</v>
      </c>
      <c r="D70">
        <f t="shared" si="0"/>
        <v>0.42835939732519979</v>
      </c>
      <c r="E70">
        <f t="shared" si="1"/>
        <v>0.66785987864689655</v>
      </c>
      <c r="I70">
        <f t="shared" si="9"/>
        <v>128</v>
      </c>
      <c r="J70">
        <f t="shared" si="2"/>
        <v>0.23950048132169677</v>
      </c>
      <c r="K70">
        <f t="shared" si="3"/>
        <v>0.66785987864689655</v>
      </c>
      <c r="O70">
        <f t="shared" si="10"/>
        <v>128</v>
      </c>
      <c r="P70">
        <f t="shared" si="4"/>
        <v>-22.057195443904497</v>
      </c>
      <c r="Q70">
        <f t="shared" si="5"/>
        <v>0.66785987864689655</v>
      </c>
      <c r="U70">
        <f t="shared" si="11"/>
        <v>128</v>
      </c>
      <c r="V70">
        <f t="shared" si="6"/>
        <v>22.725055322551391</v>
      </c>
      <c r="W70">
        <f t="shared" si="7"/>
        <v>0.66785987864689655</v>
      </c>
    </row>
    <row r="71" spans="3:23" x14ac:dyDescent="0.25">
      <c r="C71">
        <f t="shared" si="8"/>
        <v>130</v>
      </c>
      <c r="D71">
        <f t="shared" ref="D71:D106" si="12">Down_And_Out_Put(C71,$B$11,$B$6,$B$7,$B$8,$B$9,$B$10)</f>
        <v>0.37128598432460702</v>
      </c>
      <c r="E71">
        <f t="shared" ref="E71:E106" si="13">Vanilla_Put(C71,$B$11,$B$6,$B$7,$B$8,$B$9)</f>
        <v>0.56321938632534874</v>
      </c>
      <c r="I71">
        <f t="shared" si="9"/>
        <v>130</v>
      </c>
      <c r="J71">
        <f t="shared" ref="J71:J106" si="14">Down_And_In_Put(I71,$H$11,$H$6,$H$7,$H$8,$H$9,$H$10)</f>
        <v>0.19193340200074238</v>
      </c>
      <c r="K71">
        <f t="shared" ref="K71:K106" si="15">Vanilla_Put(I71,$H$11,$H$6,$H$7,$H$8,$H$9)</f>
        <v>0.56321938632534874</v>
      </c>
      <c r="O71">
        <f t="shared" si="10"/>
        <v>130</v>
      </c>
      <c r="P71">
        <f t="shared" ref="P71:P106" si="16">Up_And_Out_Put(O71,$N$11,$N$6,$N$7,$N$8,$N$9,$N$10)</f>
        <v>-21.963252368364977</v>
      </c>
      <c r="Q71">
        <f t="shared" ref="Q71:Q106" si="17">Vanilla_Put(O71,$N$11,$N$6,$N$7,$N$8,$N$9)</f>
        <v>0.56321938632534874</v>
      </c>
      <c r="U71">
        <f t="shared" si="11"/>
        <v>130</v>
      </c>
      <c r="V71">
        <f t="shared" ref="V71:V106" si="18">Up_And_In_Put(U71,$T$11,$T$6,$T$7,$T$8,$T$9,$T$10)</f>
        <v>22.526471754690334</v>
      </c>
      <c r="W71">
        <f t="shared" ref="W71:W106" si="19">Vanilla_Put(U71,$T$11,$T$6,$T$7,$T$8,$T$9)</f>
        <v>0.56321938632534874</v>
      </c>
    </row>
    <row r="72" spans="3:23" x14ac:dyDescent="0.25">
      <c r="C72">
        <f t="shared" si="8"/>
        <v>132</v>
      </c>
      <c r="D72">
        <f t="shared" si="12"/>
        <v>0.32052109731745748</v>
      </c>
      <c r="E72">
        <f t="shared" si="13"/>
        <v>0.47402786068229918</v>
      </c>
      <c r="I72">
        <f t="shared" si="9"/>
        <v>132</v>
      </c>
      <c r="J72">
        <f t="shared" si="14"/>
        <v>0.15350676336484148</v>
      </c>
      <c r="K72">
        <f t="shared" si="15"/>
        <v>0.47402786068229918</v>
      </c>
      <c r="O72">
        <f t="shared" si="10"/>
        <v>132</v>
      </c>
      <c r="P72">
        <f t="shared" si="16"/>
        <v>-21.851785404864412</v>
      </c>
      <c r="Q72">
        <f t="shared" si="17"/>
        <v>0.47402786068229918</v>
      </c>
      <c r="U72">
        <f t="shared" si="11"/>
        <v>132</v>
      </c>
      <c r="V72">
        <f t="shared" si="18"/>
        <v>22.325813265546714</v>
      </c>
      <c r="W72">
        <f t="shared" si="19"/>
        <v>0.47402786068229918</v>
      </c>
    </row>
    <row r="73" spans="3:23" x14ac:dyDescent="0.25">
      <c r="C73">
        <f t="shared" ref="C73:C136" si="20">C72+$C$7</f>
        <v>134</v>
      </c>
      <c r="D73">
        <f t="shared" si="12"/>
        <v>0.27565721348080974</v>
      </c>
      <c r="E73">
        <f t="shared" si="13"/>
        <v>0.39820083777106241</v>
      </c>
      <c r="I73">
        <f t="shared" ref="I73:I106" si="21">I72+$I$7</f>
        <v>134</v>
      </c>
      <c r="J73">
        <f t="shared" si="14"/>
        <v>0.12254362429025345</v>
      </c>
      <c r="K73">
        <f t="shared" si="15"/>
        <v>0.39820083777106241</v>
      </c>
      <c r="O73">
        <f t="shared" ref="O73:O106" si="22">O72+$O$7</f>
        <v>134</v>
      </c>
      <c r="P73">
        <f t="shared" si="16"/>
        <v>-21.725595387739901</v>
      </c>
      <c r="Q73">
        <f t="shared" si="17"/>
        <v>0.39820083777106241</v>
      </c>
      <c r="U73">
        <f t="shared" si="11"/>
        <v>134</v>
      </c>
      <c r="V73">
        <f t="shared" si="18"/>
        <v>22.123796225510958</v>
      </c>
      <c r="W73">
        <f t="shared" si="19"/>
        <v>0.39820083777106241</v>
      </c>
    </row>
    <row r="74" spans="3:23" x14ac:dyDescent="0.25">
      <c r="C74">
        <f t="shared" si="20"/>
        <v>136</v>
      </c>
      <c r="D74">
        <f t="shared" si="12"/>
        <v>0.23624033625492391</v>
      </c>
      <c r="E74">
        <f t="shared" si="13"/>
        <v>0.33389453802298252</v>
      </c>
      <c r="I74">
        <f t="shared" si="21"/>
        <v>136</v>
      </c>
      <c r="J74">
        <f t="shared" si="14"/>
        <v>9.7654201768058724E-2</v>
      </c>
      <c r="K74">
        <f t="shared" si="15"/>
        <v>0.33389453802298252</v>
      </c>
      <c r="O74">
        <f t="shared" si="22"/>
        <v>136</v>
      </c>
      <c r="P74">
        <f t="shared" si="16"/>
        <v>-21.587081015822505</v>
      </c>
      <c r="Q74">
        <f t="shared" si="17"/>
        <v>0.33389453802298252</v>
      </c>
      <c r="U74">
        <f t="shared" ref="U74:U106" si="23">U73+$U$7</f>
        <v>136</v>
      </c>
      <c r="V74">
        <f t="shared" si="18"/>
        <v>21.920975553845487</v>
      </c>
      <c r="W74">
        <f t="shared" si="19"/>
        <v>0.33389453802298252</v>
      </c>
    </row>
    <row r="75" spans="3:23" x14ac:dyDescent="0.25">
      <c r="C75">
        <f t="shared" si="20"/>
        <v>138</v>
      </c>
      <c r="D75">
        <f t="shared" si="12"/>
        <v>0.20179455949140435</v>
      </c>
      <c r="E75">
        <f t="shared" si="13"/>
        <v>0.27948656497872904</v>
      </c>
      <c r="I75">
        <f t="shared" si="21"/>
        <v>138</v>
      </c>
      <c r="J75">
        <f t="shared" si="14"/>
        <v>7.7692005487324189E-2</v>
      </c>
      <c r="K75">
        <f t="shared" si="15"/>
        <v>0.27948656497872904</v>
      </c>
      <c r="O75">
        <f t="shared" si="22"/>
        <v>138</v>
      </c>
      <c r="P75">
        <f t="shared" si="16"/>
        <v>-21.438294163749671</v>
      </c>
      <c r="Q75">
        <f t="shared" si="17"/>
        <v>0.27948656497872904</v>
      </c>
      <c r="U75">
        <f t="shared" si="23"/>
        <v>138</v>
      </c>
      <c r="V75">
        <f t="shared" si="18"/>
        <v>21.717780728728403</v>
      </c>
      <c r="W75">
        <f t="shared" si="19"/>
        <v>0.27948656497872904</v>
      </c>
    </row>
    <row r="76" spans="3:23" x14ac:dyDescent="0.25">
      <c r="C76">
        <f t="shared" si="20"/>
        <v>140</v>
      </c>
      <c r="D76">
        <f t="shared" si="12"/>
        <v>0.17184097648900121</v>
      </c>
      <c r="E76">
        <f t="shared" si="13"/>
        <v>0.23355624740876157</v>
      </c>
      <c r="I76">
        <f t="shared" si="21"/>
        <v>140</v>
      </c>
      <c r="J76">
        <f t="shared" si="14"/>
        <v>6.1715270919760035E-2</v>
      </c>
      <c r="K76">
        <f t="shared" si="15"/>
        <v>0.23355624740876157</v>
      </c>
      <c r="O76">
        <f t="shared" si="22"/>
        <v>140</v>
      </c>
      <c r="P76">
        <f t="shared" si="16"/>
        <v>-21.280988826502529</v>
      </c>
      <c r="Q76">
        <f t="shared" si="17"/>
        <v>0.23355624740876157</v>
      </c>
      <c r="U76">
        <f t="shared" si="23"/>
        <v>140</v>
      </c>
      <c r="V76">
        <f t="shared" si="18"/>
        <v>21.51454507391129</v>
      </c>
      <c r="W76">
        <f t="shared" si="19"/>
        <v>0.23355624740876157</v>
      </c>
    </row>
    <row r="77" spans="3:23" x14ac:dyDescent="0.25">
      <c r="C77">
        <f t="shared" si="20"/>
        <v>142</v>
      </c>
      <c r="D77">
        <f t="shared" si="12"/>
        <v>0.1459117444085245</v>
      </c>
      <c r="E77">
        <f t="shared" si="13"/>
        <v>0.19486518918863371</v>
      </c>
      <c r="I77">
        <f t="shared" si="21"/>
        <v>142</v>
      </c>
      <c r="J77">
        <f t="shared" si="14"/>
        <v>4.8953444780109018E-2</v>
      </c>
      <c r="K77">
        <f t="shared" si="15"/>
        <v>0.19486518918863371</v>
      </c>
      <c r="O77">
        <f t="shared" si="22"/>
        <v>142</v>
      </c>
      <c r="P77">
        <f t="shared" si="16"/>
        <v>-21.116664012139577</v>
      </c>
      <c r="Q77">
        <f t="shared" si="17"/>
        <v>0.19486518918863371</v>
      </c>
      <c r="U77">
        <f t="shared" si="23"/>
        <v>142</v>
      </c>
      <c r="V77">
        <f t="shared" si="18"/>
        <v>21.311529201328216</v>
      </c>
      <c r="W77">
        <f t="shared" si="19"/>
        <v>0.19486518918863371</v>
      </c>
    </row>
    <row r="78" spans="3:23" x14ac:dyDescent="0.25">
      <c r="C78">
        <f t="shared" si="20"/>
        <v>144</v>
      </c>
      <c r="D78">
        <f t="shared" si="12"/>
        <v>0.12356009771650589</v>
      </c>
      <c r="E78">
        <f t="shared" si="13"/>
        <v>0.16233845263729085</v>
      </c>
      <c r="I78">
        <f t="shared" si="21"/>
        <v>144</v>
      </c>
      <c r="J78">
        <f t="shared" si="14"/>
        <v>3.8778354920784769E-2</v>
      </c>
      <c r="K78">
        <f t="shared" si="15"/>
        <v>0.16233845263729085</v>
      </c>
      <c r="O78">
        <f t="shared" si="22"/>
        <v>144</v>
      </c>
      <c r="P78">
        <f t="shared" si="16"/>
        <v>-20.946601025861717</v>
      </c>
      <c r="Q78">
        <f t="shared" si="17"/>
        <v>0.16233845263729085</v>
      </c>
      <c r="U78">
        <f t="shared" si="23"/>
        <v>144</v>
      </c>
      <c r="V78">
        <f t="shared" si="18"/>
        <v>21.108939478499007</v>
      </c>
      <c r="W78">
        <f t="shared" si="19"/>
        <v>0.16233845263729085</v>
      </c>
    </row>
    <row r="79" spans="3:23" x14ac:dyDescent="0.25">
      <c r="C79">
        <f t="shared" si="20"/>
        <v>146</v>
      </c>
      <c r="D79">
        <f t="shared" si="12"/>
        <v>0.10436705207216557</v>
      </c>
      <c r="E79">
        <f t="shared" si="13"/>
        <v>0.13504668179993007</v>
      </c>
      <c r="I79">
        <f t="shared" si="21"/>
        <v>146</v>
      </c>
      <c r="J79">
        <f t="shared" si="14"/>
        <v>3.0679629727764501E-2</v>
      </c>
      <c r="K79">
        <f t="shared" si="15"/>
        <v>0.13504668179993007</v>
      </c>
      <c r="O79">
        <f t="shared" si="22"/>
        <v>146</v>
      </c>
      <c r="P79">
        <f t="shared" si="16"/>
        <v>-20.771895657372099</v>
      </c>
      <c r="Q79">
        <f t="shared" si="17"/>
        <v>0.13504668179993007</v>
      </c>
      <c r="U79">
        <f t="shared" si="23"/>
        <v>146</v>
      </c>
      <c r="V79">
        <f t="shared" si="18"/>
        <v>20.90694233917203</v>
      </c>
      <c r="W79">
        <f t="shared" si="19"/>
        <v>0.13504668179993007</v>
      </c>
    </row>
    <row r="80" spans="3:23" x14ac:dyDescent="0.25">
      <c r="C80">
        <f t="shared" si="20"/>
        <v>148</v>
      </c>
      <c r="D80">
        <f t="shared" si="12"/>
        <v>8.7945466912972226E-2</v>
      </c>
      <c r="E80">
        <f t="shared" si="13"/>
        <v>0.11218937215504132</v>
      </c>
      <c r="I80">
        <f t="shared" si="21"/>
        <v>148</v>
      </c>
      <c r="J80">
        <f t="shared" si="14"/>
        <v>2.4243905242069028E-2</v>
      </c>
      <c r="K80">
        <f t="shared" si="15"/>
        <v>0.11218937215504132</v>
      </c>
      <c r="O80">
        <f t="shared" si="22"/>
        <v>148</v>
      </c>
      <c r="P80">
        <f t="shared" si="16"/>
        <v>-20.593485809133195</v>
      </c>
      <c r="Q80">
        <f t="shared" si="17"/>
        <v>0.11218937215504132</v>
      </c>
      <c r="U80">
        <f t="shared" si="23"/>
        <v>148</v>
      </c>
      <c r="V80">
        <f t="shared" si="18"/>
        <v>20.705675181288239</v>
      </c>
      <c r="W80">
        <f t="shared" si="19"/>
        <v>0.11218937215504132</v>
      </c>
    </row>
    <row r="81" spans="3:23" x14ac:dyDescent="0.25">
      <c r="C81">
        <f t="shared" si="20"/>
        <v>150</v>
      </c>
      <c r="D81">
        <f t="shared" si="12"/>
        <v>7.3942051758245864E-2</v>
      </c>
      <c r="E81">
        <f t="shared" si="13"/>
        <v>9.3079411388513833E-2</v>
      </c>
      <c r="I81">
        <f t="shared" si="21"/>
        <v>150</v>
      </c>
      <c r="J81">
        <f t="shared" si="14"/>
        <v>1.9137359630267789E-2</v>
      </c>
      <c r="K81">
        <f t="shared" si="15"/>
        <v>9.3079411388513833E-2</v>
      </c>
      <c r="O81">
        <f t="shared" si="22"/>
        <v>150</v>
      </c>
      <c r="P81">
        <f t="shared" si="16"/>
        <v>-20.41217509855689</v>
      </c>
      <c r="Q81">
        <f t="shared" si="17"/>
        <v>9.3079411388513833E-2</v>
      </c>
      <c r="U81">
        <f t="shared" si="23"/>
        <v>150</v>
      </c>
      <c r="V81">
        <f t="shared" si="18"/>
        <v>20.505254509945399</v>
      </c>
      <c r="W81">
        <f t="shared" si="19"/>
        <v>9.3079411388513833E-2</v>
      </c>
    </row>
    <row r="82" spans="3:23" x14ac:dyDescent="0.25">
      <c r="C82">
        <f t="shared" si="20"/>
        <v>152</v>
      </c>
      <c r="D82">
        <f t="shared" si="12"/>
        <v>6.2037815697836729E-2</v>
      </c>
      <c r="E82">
        <f t="shared" si="13"/>
        <v>7.7128950590774403E-2</v>
      </c>
      <c r="I82">
        <f t="shared" si="21"/>
        <v>152</v>
      </c>
      <c r="J82">
        <f t="shared" si="14"/>
        <v>1.5091134892937584E-2</v>
      </c>
      <c r="K82">
        <f t="shared" si="15"/>
        <v>7.7128950590774403E-2</v>
      </c>
      <c r="O82">
        <f t="shared" si="22"/>
        <v>152</v>
      </c>
      <c r="P82">
        <f t="shared" si="16"/>
        <v>-20.228652942547797</v>
      </c>
      <c r="Q82">
        <f t="shared" si="17"/>
        <v>7.7128950590774403E-2</v>
      </c>
      <c r="U82">
        <f t="shared" si="23"/>
        <v>152</v>
      </c>
      <c r="V82">
        <f t="shared" si="18"/>
        <v>20.305781893138569</v>
      </c>
      <c r="W82">
        <f t="shared" si="19"/>
        <v>7.7128950590774403E-2</v>
      </c>
    </row>
    <row r="83" spans="3:23" x14ac:dyDescent="0.25">
      <c r="C83">
        <f t="shared" si="20"/>
        <v>154</v>
      </c>
      <c r="D83">
        <f t="shared" si="12"/>
        <v>5.1947376945910895E-2</v>
      </c>
      <c r="E83">
        <f t="shared" si="13"/>
        <v>6.3836614597024721E-2</v>
      </c>
      <c r="I83">
        <f t="shared" si="21"/>
        <v>154</v>
      </c>
      <c r="J83">
        <f t="shared" si="14"/>
        <v>1.1889237651113778E-2</v>
      </c>
      <c r="K83">
        <f t="shared" si="15"/>
        <v>6.3836614597024721E-2</v>
      </c>
      <c r="O83">
        <f t="shared" si="22"/>
        <v>154</v>
      </c>
      <c r="P83">
        <f t="shared" si="16"/>
        <v>-20.043511595888379</v>
      </c>
      <c r="Q83">
        <f t="shared" si="17"/>
        <v>6.3836614597024721E-2</v>
      </c>
      <c r="U83">
        <f t="shared" si="23"/>
        <v>154</v>
      </c>
      <c r="V83">
        <f t="shared" si="18"/>
        <v>20.107348210485409</v>
      </c>
      <c r="W83">
        <f t="shared" si="19"/>
        <v>6.3836614597024721E-2</v>
      </c>
    </row>
    <row r="84" spans="3:23" x14ac:dyDescent="0.25">
      <c r="C84">
        <f t="shared" si="20"/>
        <v>156</v>
      </c>
      <c r="D84">
        <f t="shared" si="12"/>
        <v>4.3417473039302101E-2</v>
      </c>
      <c r="E84">
        <f t="shared" si="13"/>
        <v>5.2776022190355265E-2</v>
      </c>
      <c r="I84">
        <f t="shared" si="21"/>
        <v>156</v>
      </c>
      <c r="J84">
        <f t="shared" si="14"/>
        <v>9.3585491510530874E-3</v>
      </c>
      <c r="K84">
        <f t="shared" si="15"/>
        <v>5.2776022190355265E-2</v>
      </c>
      <c r="O84">
        <f t="shared" si="22"/>
        <v>156</v>
      </c>
      <c r="P84">
        <f t="shared" si="16"/>
        <v>-19.857260571425961</v>
      </c>
      <c r="Q84">
        <f t="shared" si="17"/>
        <v>5.2776022190355265E-2</v>
      </c>
      <c r="U84">
        <f t="shared" si="23"/>
        <v>156</v>
      </c>
      <c r="V84">
        <f t="shared" si="18"/>
        <v>19.910036593616319</v>
      </c>
      <c r="W84">
        <f t="shared" si="19"/>
        <v>5.2776022190355265E-2</v>
      </c>
    </row>
    <row r="85" spans="3:23" x14ac:dyDescent="0.25">
      <c r="C85">
        <f t="shared" si="20"/>
        <v>158</v>
      </c>
      <c r="D85">
        <f t="shared" si="12"/>
        <v>3.6224944090698652E-2</v>
      </c>
      <c r="E85">
        <f t="shared" si="13"/>
        <v>4.3585559533649398E-2</v>
      </c>
      <c r="I85">
        <f t="shared" si="21"/>
        <v>158</v>
      </c>
      <c r="J85">
        <f t="shared" si="14"/>
        <v>7.360615442950684E-3</v>
      </c>
      <c r="K85">
        <f t="shared" si="15"/>
        <v>4.3585559533649398E-2</v>
      </c>
      <c r="O85">
        <f t="shared" si="22"/>
        <v>158</v>
      </c>
      <c r="P85">
        <f t="shared" si="16"/>
        <v>-19.670338823990541</v>
      </c>
      <c r="Q85">
        <f t="shared" si="17"/>
        <v>4.3585559533649398E-2</v>
      </c>
      <c r="U85">
        <f t="shared" si="23"/>
        <v>158</v>
      </c>
      <c r="V85">
        <f t="shared" si="18"/>
        <v>19.713924383524194</v>
      </c>
      <c r="W85">
        <f t="shared" si="19"/>
        <v>4.3585559533649398E-2</v>
      </c>
    </row>
    <row r="86" spans="3:23" x14ac:dyDescent="0.25">
      <c r="C86">
        <f t="shared" si="20"/>
        <v>160</v>
      </c>
      <c r="D86">
        <f t="shared" si="12"/>
        <v>3.0174402249663723E-2</v>
      </c>
      <c r="E86">
        <f t="shared" si="13"/>
        <v>3.5959331616010726E-2</v>
      </c>
      <c r="I86">
        <f t="shared" si="21"/>
        <v>160</v>
      </c>
      <c r="J86">
        <f t="shared" si="14"/>
        <v>5.7849293663470545E-3</v>
      </c>
      <c r="K86">
        <f t="shared" si="15"/>
        <v>3.5959331616010726E-2</v>
      </c>
      <c r="O86">
        <f t="shared" si="22"/>
        <v>160</v>
      </c>
      <c r="P86">
        <f t="shared" si="16"/>
        <v>-19.483125034258009</v>
      </c>
      <c r="Q86">
        <f t="shared" si="17"/>
        <v>3.5959331616010726E-2</v>
      </c>
      <c r="U86">
        <f t="shared" si="23"/>
        <v>160</v>
      </c>
      <c r="V86">
        <f t="shared" si="18"/>
        <v>19.519084365874015</v>
      </c>
      <c r="W86">
        <f t="shared" si="19"/>
        <v>3.5959331616010726E-2</v>
      </c>
    </row>
    <row r="87" spans="3:23" x14ac:dyDescent="0.25">
      <c r="C87">
        <f t="shared" si="20"/>
        <v>162</v>
      </c>
      <c r="D87">
        <f t="shared" si="12"/>
        <v>2.5095750205040679E-2</v>
      </c>
      <c r="E87">
        <f t="shared" si="13"/>
        <v>2.9639204983714751E-2</v>
      </c>
      <c r="I87">
        <f t="shared" si="21"/>
        <v>162</v>
      </c>
      <c r="J87">
        <f t="shared" si="14"/>
        <v>4.5434547786740789E-3</v>
      </c>
      <c r="K87">
        <f t="shared" si="15"/>
        <v>2.9639204983714751E-2</v>
      </c>
      <c r="O87">
        <f t="shared" si="22"/>
        <v>162</v>
      </c>
      <c r="P87">
        <f t="shared" si="16"/>
        <v>-19.295946285214157</v>
      </c>
      <c r="Q87">
        <f t="shared" si="17"/>
        <v>2.9639204983714751E-2</v>
      </c>
      <c r="U87">
        <f t="shared" si="23"/>
        <v>162</v>
      </c>
      <c r="V87">
        <f t="shared" si="18"/>
        <v>19.325585490197867</v>
      </c>
      <c r="W87">
        <f t="shared" si="19"/>
        <v>2.9639204983714751E-2</v>
      </c>
    </row>
    <row r="88" spans="3:23" x14ac:dyDescent="0.25">
      <c r="C88">
        <f t="shared" si="20"/>
        <v>164</v>
      </c>
      <c r="D88">
        <f t="shared" si="12"/>
        <v>2.0841669727967416E-2</v>
      </c>
      <c r="E88">
        <f t="shared" si="13"/>
        <v>2.4407849068433352E-2</v>
      </c>
      <c r="I88">
        <f t="shared" si="21"/>
        <v>164</v>
      </c>
      <c r="J88">
        <f t="shared" si="14"/>
        <v>3.5661793404659532E-3</v>
      </c>
      <c r="K88">
        <f t="shared" si="15"/>
        <v>2.4407849068433352E-2</v>
      </c>
      <c r="O88">
        <f t="shared" si="22"/>
        <v>164</v>
      </c>
      <c r="P88">
        <f t="shared" si="16"/>
        <v>-19.109085383580009</v>
      </c>
      <c r="Q88">
        <f t="shared" si="17"/>
        <v>2.4407849068433352E-2</v>
      </c>
      <c r="U88">
        <f t="shared" si="23"/>
        <v>164</v>
      </c>
      <c r="V88">
        <f t="shared" si="18"/>
        <v>19.133493232648433</v>
      </c>
      <c r="W88">
        <f t="shared" si="19"/>
        <v>2.4407849068433352E-2</v>
      </c>
    </row>
    <row r="89" spans="3:23" x14ac:dyDescent="0.25">
      <c r="C89">
        <f t="shared" si="20"/>
        <v>166</v>
      </c>
      <c r="D89">
        <f t="shared" si="12"/>
        <v>1.7285167156388226E-2</v>
      </c>
      <c r="E89">
        <f t="shared" si="13"/>
        <v>2.0082681724344464E-2</v>
      </c>
      <c r="I89">
        <f t="shared" si="21"/>
        <v>166</v>
      </c>
      <c r="J89">
        <f t="shared" si="14"/>
        <v>2.7975145679562073E-3</v>
      </c>
      <c r="K89">
        <f t="shared" si="15"/>
        <v>2.0082681724344464E-2</v>
      </c>
      <c r="O89">
        <f t="shared" si="22"/>
        <v>166</v>
      </c>
      <c r="P89">
        <f t="shared" si="16"/>
        <v>-18.922787042106751</v>
      </c>
      <c r="Q89">
        <f t="shared" si="17"/>
        <v>2.0082681724344464E-2</v>
      </c>
      <c r="U89">
        <f t="shared" si="23"/>
        <v>166</v>
      </c>
      <c r="V89">
        <f t="shared" si="18"/>
        <v>18.942869723831095</v>
      </c>
      <c r="W89">
        <f t="shared" si="19"/>
        <v>2.0082681724344464E-2</v>
      </c>
    </row>
    <row r="90" spans="3:23" x14ac:dyDescent="0.25">
      <c r="C90">
        <f t="shared" si="20"/>
        <v>168</v>
      </c>
      <c r="D90">
        <f t="shared" si="12"/>
        <v>1.4317235463066846E-2</v>
      </c>
      <c r="E90">
        <f t="shared" si="13"/>
        <v>1.6510626044419052E-2</v>
      </c>
      <c r="I90">
        <f t="shared" si="21"/>
        <v>168</v>
      </c>
      <c r="J90">
        <f t="shared" si="14"/>
        <v>2.1933905813521833E-3</v>
      </c>
      <c r="K90">
        <f t="shared" si="15"/>
        <v>1.6510626044419052E-2</v>
      </c>
      <c r="O90">
        <f t="shared" si="22"/>
        <v>168</v>
      </c>
      <c r="P90">
        <f t="shared" si="16"/>
        <v>-18.737263106242786</v>
      </c>
      <c r="Q90">
        <f t="shared" si="17"/>
        <v>1.6510626044419052E-2</v>
      </c>
      <c r="U90">
        <f t="shared" si="23"/>
        <v>168</v>
      </c>
      <c r="V90">
        <f t="shared" si="18"/>
        <v>18.753773732287208</v>
      </c>
      <c r="W90">
        <f t="shared" si="19"/>
        <v>1.6510626044419052E-2</v>
      </c>
    </row>
    <row r="91" spans="3:23" x14ac:dyDescent="0.25">
      <c r="C91">
        <f t="shared" si="20"/>
        <v>170</v>
      </c>
      <c r="D91">
        <f t="shared" si="12"/>
        <v>1.1844671186048594E-2</v>
      </c>
      <c r="E91">
        <f t="shared" si="13"/>
        <v>1.3563589236766621E-2</v>
      </c>
      <c r="I91">
        <f t="shared" si="21"/>
        <v>170</v>
      </c>
      <c r="J91">
        <f t="shared" si="14"/>
        <v>1.7189180507180294E-3</v>
      </c>
      <c r="K91">
        <f t="shared" si="15"/>
        <v>1.3563589236766621E-2</v>
      </c>
      <c r="O91">
        <f t="shared" si="22"/>
        <v>170</v>
      </c>
      <c r="P91">
        <f t="shared" si="16"/>
        <v>-18.552696980268237</v>
      </c>
      <c r="Q91">
        <f t="shared" si="17"/>
        <v>1.3563589236766621E-2</v>
      </c>
      <c r="U91">
        <f t="shared" si="23"/>
        <v>170</v>
      </c>
      <c r="V91">
        <f t="shared" si="18"/>
        <v>18.566260569504998</v>
      </c>
      <c r="W91">
        <f t="shared" si="19"/>
        <v>1.3563589236766621E-2</v>
      </c>
    </row>
    <row r="92" spans="3:23" x14ac:dyDescent="0.25">
      <c r="C92">
        <f t="shared" si="20"/>
        <v>172</v>
      </c>
      <c r="D92">
        <f t="shared" si="12"/>
        <v>9.7880681125424307E-3</v>
      </c>
      <c r="E92">
        <f t="shared" si="13"/>
        <v>1.1134579574450854E-2</v>
      </c>
      <c r="I92">
        <f t="shared" si="21"/>
        <v>172</v>
      </c>
      <c r="J92">
        <f t="shared" si="14"/>
        <v>1.3465114619084194E-3</v>
      </c>
      <c r="K92">
        <f t="shared" si="15"/>
        <v>1.1134579574450854E-2</v>
      </c>
      <c r="O92">
        <f t="shared" si="22"/>
        <v>172</v>
      </c>
      <c r="P92">
        <f t="shared" si="16"/>
        <v>-18.369247383376578</v>
      </c>
      <c r="Q92">
        <f t="shared" si="17"/>
        <v>1.1134579574450854E-2</v>
      </c>
      <c r="U92">
        <f t="shared" si="23"/>
        <v>172</v>
      </c>
      <c r="V92">
        <f t="shared" si="18"/>
        <v>18.380381962951027</v>
      </c>
      <c r="W92">
        <f t="shared" si="19"/>
        <v>1.1134579574450854E-2</v>
      </c>
    </row>
    <row r="93" spans="3:23" x14ac:dyDescent="0.25">
      <c r="C93">
        <f t="shared" si="20"/>
        <v>174</v>
      </c>
      <c r="D93">
        <f t="shared" si="12"/>
        <v>8.0799973302480288E-3</v>
      </c>
      <c r="E93">
        <f t="shared" si="13"/>
        <v>9.1343836017200863E-3</v>
      </c>
      <c r="I93">
        <f t="shared" si="21"/>
        <v>174</v>
      </c>
      <c r="J93">
        <f t="shared" si="14"/>
        <v>1.0543862714720411E-3</v>
      </c>
      <c r="K93">
        <f t="shared" si="15"/>
        <v>9.1343836017200863E-3</v>
      </c>
      <c r="O93">
        <f t="shared" si="22"/>
        <v>174</v>
      </c>
      <c r="P93">
        <f t="shared" si="16"/>
        <v>-18.187051545053926</v>
      </c>
      <c r="Q93">
        <f t="shared" si="17"/>
        <v>9.1343836017200863E-3</v>
      </c>
      <c r="U93">
        <f t="shared" si="23"/>
        <v>174</v>
      </c>
      <c r="V93">
        <f t="shared" si="18"/>
        <v>18.196185928655645</v>
      </c>
      <c r="W93">
        <f t="shared" si="19"/>
        <v>9.1343836017200863E-3</v>
      </c>
    </row>
    <row r="94" spans="3:23" x14ac:dyDescent="0.25">
      <c r="C94">
        <f t="shared" si="20"/>
        <v>176</v>
      </c>
      <c r="D94">
        <f t="shared" si="12"/>
        <v>6.6633743258913414E-3</v>
      </c>
      <c r="E94">
        <f t="shared" si="13"/>
        <v>7.4887324405523148E-3</v>
      </c>
      <c r="I94">
        <f t="shared" si="21"/>
        <v>176</v>
      </c>
      <c r="J94">
        <f t="shared" si="14"/>
        <v>8.2535811466098296E-4</v>
      </c>
      <c r="K94">
        <f t="shared" si="15"/>
        <v>7.4887324405523148E-3</v>
      </c>
      <c r="O94">
        <f t="shared" si="22"/>
        <v>176</v>
      </c>
      <c r="P94">
        <f t="shared" si="16"/>
        <v>-18.006227931116783</v>
      </c>
      <c r="Q94">
        <f t="shared" si="17"/>
        <v>7.4887324405523148E-3</v>
      </c>
      <c r="U94">
        <f t="shared" si="23"/>
        <v>176</v>
      </c>
      <c r="V94">
        <f t="shared" si="18"/>
        <v>18.013716663557332</v>
      </c>
      <c r="W94">
        <f t="shared" si="19"/>
        <v>7.4887324405523148E-3</v>
      </c>
    </row>
    <row r="95" spans="3:23" x14ac:dyDescent="0.25">
      <c r="C95">
        <f t="shared" si="20"/>
        <v>178</v>
      </c>
      <c r="D95">
        <f t="shared" si="12"/>
        <v>5.490007539387734E-3</v>
      </c>
      <c r="E95">
        <f t="shared" si="13"/>
        <v>6.1358928513770977E-3</v>
      </c>
      <c r="I95">
        <f t="shared" si="21"/>
        <v>178</v>
      </c>
      <c r="J95">
        <f t="shared" si="14"/>
        <v>6.4588531198936112E-4</v>
      </c>
      <c r="K95">
        <f t="shared" si="15"/>
        <v>6.1358928513770977E-3</v>
      </c>
      <c r="O95">
        <f t="shared" si="22"/>
        <v>178</v>
      </c>
      <c r="P95">
        <f t="shared" si="16"/>
        <v>-17.826878576554861</v>
      </c>
      <c r="Q95">
        <f t="shared" si="17"/>
        <v>6.1358928513770977E-3</v>
      </c>
      <c r="U95">
        <f t="shared" si="23"/>
        <v>178</v>
      </c>
      <c r="V95">
        <f t="shared" si="18"/>
        <v>17.833014469406237</v>
      </c>
      <c r="W95">
        <f t="shared" si="19"/>
        <v>6.1358928513770977E-3</v>
      </c>
    </row>
    <row r="96" spans="3:23" x14ac:dyDescent="0.25">
      <c r="C96">
        <f t="shared" si="20"/>
        <v>180</v>
      </c>
      <c r="D96">
        <f t="shared" si="12"/>
        <v>4.5193185973661926E-3</v>
      </c>
      <c r="E96">
        <f t="shared" si="13"/>
        <v>5.0246254147990332E-3</v>
      </c>
      <c r="I96">
        <f t="shared" si="21"/>
        <v>180</v>
      </c>
      <c r="J96">
        <f t="shared" si="14"/>
        <v>5.0530681743282679E-4</v>
      </c>
      <c r="K96">
        <f t="shared" si="15"/>
        <v>5.0246254147990332E-3</v>
      </c>
      <c r="O96">
        <f t="shared" si="22"/>
        <v>180</v>
      </c>
      <c r="P96">
        <f t="shared" si="16"/>
        <v>-17.649091088530511</v>
      </c>
      <c r="Q96">
        <f t="shared" si="17"/>
        <v>5.0246254147990332E-3</v>
      </c>
      <c r="U96">
        <f t="shared" si="23"/>
        <v>180</v>
      </c>
      <c r="V96">
        <f t="shared" si="18"/>
        <v>17.654115713945309</v>
      </c>
      <c r="W96">
        <f t="shared" si="19"/>
        <v>5.0246254147990332E-3</v>
      </c>
    </row>
    <row r="97" spans="3:23" x14ac:dyDescent="0.25">
      <c r="C97">
        <f t="shared" si="20"/>
        <v>182</v>
      </c>
      <c r="D97">
        <f t="shared" si="12"/>
        <v>3.7172218709269345E-3</v>
      </c>
      <c r="E97">
        <f t="shared" si="13"/>
        <v>4.1124586424508697E-3</v>
      </c>
      <c r="I97">
        <f t="shared" si="21"/>
        <v>182</v>
      </c>
      <c r="J97">
        <f t="shared" si="14"/>
        <v>3.9523677152392871E-4</v>
      </c>
      <c r="K97">
        <f t="shared" si="15"/>
        <v>4.1124586424508697E-3</v>
      </c>
      <c r="O97">
        <f t="shared" si="22"/>
        <v>182</v>
      </c>
      <c r="P97">
        <f t="shared" si="16"/>
        <v>-17.472940372180631</v>
      </c>
      <c r="Q97">
        <f t="shared" si="17"/>
        <v>4.1124586424508697E-3</v>
      </c>
      <c r="U97">
        <f t="shared" si="23"/>
        <v>182</v>
      </c>
      <c r="V97">
        <f t="shared" si="18"/>
        <v>17.477052830823084</v>
      </c>
      <c r="W97">
        <f t="shared" si="19"/>
        <v>4.1124586424508697E-3</v>
      </c>
    </row>
    <row r="98" spans="3:23" x14ac:dyDescent="0.25">
      <c r="C98">
        <f t="shared" si="20"/>
        <v>184</v>
      </c>
      <c r="D98">
        <f t="shared" si="12"/>
        <v>3.0551496252141652E-3</v>
      </c>
      <c r="E98">
        <f t="shared" si="13"/>
        <v>3.3642338777954556E-3</v>
      </c>
      <c r="I98">
        <f t="shared" si="21"/>
        <v>184</v>
      </c>
      <c r="J98">
        <f t="shared" si="14"/>
        <v>3.0908425258130553E-4</v>
      </c>
      <c r="K98">
        <f t="shared" si="15"/>
        <v>3.3642338777954556E-3</v>
      </c>
      <c r="O98">
        <f t="shared" si="22"/>
        <v>184</v>
      </c>
      <c r="P98">
        <f t="shared" si="16"/>
        <v>-17.298490122940482</v>
      </c>
      <c r="Q98">
        <f t="shared" si="17"/>
        <v>3.3642338777954556E-3</v>
      </c>
      <c r="U98">
        <f t="shared" si="23"/>
        <v>184</v>
      </c>
      <c r="V98">
        <f t="shared" si="18"/>
        <v>17.301854356818279</v>
      </c>
      <c r="W98">
        <f t="shared" si="19"/>
        <v>3.3642338777954556E-3</v>
      </c>
    </row>
    <row r="99" spans="3:23" x14ac:dyDescent="0.25">
      <c r="C99">
        <f t="shared" si="20"/>
        <v>186</v>
      </c>
      <c r="D99">
        <f t="shared" si="12"/>
        <v>2.5092085406712497E-3</v>
      </c>
      <c r="E99">
        <f t="shared" si="13"/>
        <v>2.7508814449626121E-3</v>
      </c>
      <c r="I99">
        <f t="shared" si="21"/>
        <v>186</v>
      </c>
      <c r="J99">
        <f t="shared" si="14"/>
        <v>2.4167290429135432E-4</v>
      </c>
      <c r="K99">
        <f t="shared" si="15"/>
        <v>2.7508814449626121E-3</v>
      </c>
      <c r="O99">
        <f t="shared" si="22"/>
        <v>186</v>
      </c>
      <c r="P99">
        <f t="shared" si="16"/>
        <v>-17.125794121695165</v>
      </c>
      <c r="Q99">
        <f t="shared" si="17"/>
        <v>2.7508814449626121E-3</v>
      </c>
      <c r="U99">
        <f t="shared" si="23"/>
        <v>186</v>
      </c>
      <c r="V99">
        <f t="shared" si="18"/>
        <v>17.128545003140129</v>
      </c>
      <c r="W99">
        <f t="shared" si="19"/>
        <v>2.7508814449626121E-3</v>
      </c>
    </row>
    <row r="100" spans="3:23" x14ac:dyDescent="0.25">
      <c r="C100">
        <f t="shared" si="20"/>
        <v>188</v>
      </c>
      <c r="D100">
        <f t="shared" si="12"/>
        <v>2.059453522844458E-3</v>
      </c>
      <c r="E100">
        <f t="shared" si="13"/>
        <v>2.2483936069529961E-3</v>
      </c>
      <c r="I100">
        <f t="shared" si="21"/>
        <v>188</v>
      </c>
      <c r="J100">
        <f t="shared" si="14"/>
        <v>1.8894008410853369E-4</v>
      </c>
      <c r="K100">
        <f t="shared" si="15"/>
        <v>2.2483936069529961E-3</v>
      </c>
      <c r="O100">
        <f t="shared" si="22"/>
        <v>188</v>
      </c>
      <c r="P100">
        <f t="shared" si="16"/>
        <v>-16.954897362919731</v>
      </c>
      <c r="Q100">
        <f t="shared" si="17"/>
        <v>2.2483936069529961E-3</v>
      </c>
      <c r="U100">
        <f t="shared" si="23"/>
        <v>188</v>
      </c>
      <c r="V100">
        <f t="shared" si="18"/>
        <v>16.957145756526685</v>
      </c>
      <c r="W100">
        <f t="shared" si="19"/>
        <v>2.2483936069529961E-3</v>
      </c>
    </row>
    <row r="101" spans="3:23" x14ac:dyDescent="0.25">
      <c r="C101">
        <f t="shared" si="20"/>
        <v>190</v>
      </c>
      <c r="D101">
        <f t="shared" si="12"/>
        <v>1.6892652867175964E-3</v>
      </c>
      <c r="E101">
        <f t="shared" si="13"/>
        <v>1.836964497549623E-3</v>
      </c>
      <c r="I101">
        <f t="shared" si="21"/>
        <v>190</v>
      </c>
      <c r="J101">
        <f t="shared" si="14"/>
        <v>1.476992108320281E-4</v>
      </c>
      <c r="K101">
        <f t="shared" si="15"/>
        <v>1.836964497549623E-3</v>
      </c>
      <c r="O101">
        <f t="shared" si="22"/>
        <v>190</v>
      </c>
      <c r="P101">
        <f t="shared" si="16"/>
        <v>-16.785837040888282</v>
      </c>
      <c r="Q101">
        <f t="shared" si="17"/>
        <v>1.836964497549623E-3</v>
      </c>
      <c r="U101">
        <f t="shared" si="23"/>
        <v>190</v>
      </c>
      <c r="V101">
        <f t="shared" si="18"/>
        <v>16.787674005385835</v>
      </c>
      <c r="W101">
        <f t="shared" si="19"/>
        <v>1.836964497549623E-3</v>
      </c>
    </row>
    <row r="102" spans="3:23" x14ac:dyDescent="0.25">
      <c r="C102">
        <f t="shared" si="20"/>
        <v>192</v>
      </c>
      <c r="D102">
        <f t="shared" si="12"/>
        <v>1.3848190452946836E-3</v>
      </c>
      <c r="E102">
        <f t="shared" si="13"/>
        <v>1.5002713012084133E-3</v>
      </c>
      <c r="I102">
        <f t="shared" si="21"/>
        <v>192</v>
      </c>
      <c r="J102">
        <f t="shared" si="14"/>
        <v>1.1545225591372998E-4</v>
      </c>
      <c r="K102">
        <f t="shared" si="15"/>
        <v>1.5002713012084133E-3</v>
      </c>
      <c r="O102">
        <f t="shared" si="22"/>
        <v>192</v>
      </c>
      <c r="P102">
        <f t="shared" si="16"/>
        <v>-16.61864341483745</v>
      </c>
      <c r="Q102">
        <f t="shared" si="17"/>
        <v>1.5002713012084133E-3</v>
      </c>
      <c r="U102">
        <f t="shared" si="23"/>
        <v>192</v>
      </c>
      <c r="V102">
        <f t="shared" si="18"/>
        <v>16.620143686138658</v>
      </c>
      <c r="W102">
        <f t="shared" si="19"/>
        <v>1.5002713012084133E-3</v>
      </c>
    </row>
    <row r="103" spans="3:23" x14ac:dyDescent="0.25">
      <c r="C103">
        <f t="shared" si="20"/>
        <v>194</v>
      </c>
      <c r="D103">
        <f t="shared" si="12"/>
        <v>1.1346326361453205E-3</v>
      </c>
      <c r="E103">
        <f t="shared" si="13"/>
        <v>1.2248745953218482E-3</v>
      </c>
      <c r="I103">
        <f t="shared" si="21"/>
        <v>194</v>
      </c>
      <c r="J103">
        <f t="shared" si="14"/>
        <v>9.0241959176529834E-5</v>
      </c>
      <c r="K103">
        <f t="shared" si="15"/>
        <v>1.2248745953218482E-3</v>
      </c>
      <c r="O103">
        <f t="shared" si="22"/>
        <v>194</v>
      </c>
      <c r="P103">
        <f t="shared" si="16"/>
        <v>-16.453340570507947</v>
      </c>
      <c r="Q103">
        <f t="shared" si="17"/>
        <v>1.2248745953218482E-3</v>
      </c>
      <c r="U103">
        <f t="shared" si="23"/>
        <v>194</v>
      </c>
      <c r="V103">
        <f t="shared" si="18"/>
        <v>16.45456544510327</v>
      </c>
      <c r="W103">
        <f t="shared" si="19"/>
        <v>1.2248745953218482E-3</v>
      </c>
    </row>
    <row r="104" spans="3:23" x14ac:dyDescent="0.25">
      <c r="C104">
        <f t="shared" si="20"/>
        <v>196</v>
      </c>
      <c r="D104">
        <f t="shared" si="12"/>
        <v>9.2918349988135168E-4</v>
      </c>
      <c r="E104">
        <f t="shared" si="13"/>
        <v>9.9971896912219235E-4</v>
      </c>
      <c r="I104">
        <f t="shared" si="21"/>
        <v>196</v>
      </c>
      <c r="J104">
        <f t="shared" si="14"/>
        <v>7.0535469240840453E-5</v>
      </c>
      <c r="K104">
        <f t="shared" si="15"/>
        <v>9.9971896912219235E-4</v>
      </c>
      <c r="O104">
        <f t="shared" si="22"/>
        <v>196</v>
      </c>
      <c r="P104">
        <f t="shared" si="16"/>
        <v>-16.289947092635241</v>
      </c>
      <c r="Q104">
        <f t="shared" si="17"/>
        <v>9.9971896912219235E-4</v>
      </c>
      <c r="U104">
        <f t="shared" si="23"/>
        <v>196</v>
      </c>
      <c r="V104">
        <f t="shared" si="18"/>
        <v>16.290946811604364</v>
      </c>
      <c r="W104">
        <f t="shared" si="19"/>
        <v>9.9971896912219235E-4</v>
      </c>
    </row>
    <row r="105" spans="3:23" x14ac:dyDescent="0.25">
      <c r="C105">
        <f t="shared" si="20"/>
        <v>198</v>
      </c>
      <c r="D105">
        <f t="shared" si="12"/>
        <v>7.6058501733786837E-4</v>
      </c>
      <c r="E105">
        <f t="shared" si="13"/>
        <v>8.1571782837427942E-4</v>
      </c>
      <c r="I105">
        <f t="shared" si="21"/>
        <v>198</v>
      </c>
      <c r="J105">
        <f t="shared" si="14"/>
        <v>5.5132811036409825E-5</v>
      </c>
      <c r="K105">
        <f t="shared" si="15"/>
        <v>8.1571782837427942E-4</v>
      </c>
      <c r="O105">
        <f t="shared" si="22"/>
        <v>198</v>
      </c>
      <c r="P105">
        <f t="shared" si="16"/>
        <v>-16.128476660605884</v>
      </c>
      <c r="Q105">
        <f t="shared" si="17"/>
        <v>8.1571782837427942E-4</v>
      </c>
      <c r="U105">
        <f t="shared" si="23"/>
        <v>198</v>
      </c>
      <c r="V105">
        <f t="shared" si="18"/>
        <v>16.129292378434258</v>
      </c>
      <c r="W105">
        <f t="shared" si="19"/>
        <v>8.1571782837427942E-4</v>
      </c>
    </row>
    <row r="106" spans="3:23" x14ac:dyDescent="0.25">
      <c r="C106">
        <f t="shared" si="20"/>
        <v>200</v>
      </c>
      <c r="D106">
        <f t="shared" si="12"/>
        <v>6.2231377832107186E-4</v>
      </c>
      <c r="E106">
        <f t="shared" si="13"/>
        <v>6.6540872230267875E-4</v>
      </c>
      <c r="I106">
        <f t="shared" si="21"/>
        <v>200</v>
      </c>
      <c r="J106">
        <f t="shared" si="14"/>
        <v>4.3094943981605263E-5</v>
      </c>
      <c r="K106">
        <f t="shared" si="15"/>
        <v>6.6540872230267875E-4</v>
      </c>
      <c r="O106">
        <f t="shared" si="22"/>
        <v>200</v>
      </c>
      <c r="P106">
        <f t="shared" si="16"/>
        <v>-15.968938577554574</v>
      </c>
      <c r="Q106">
        <f t="shared" si="17"/>
        <v>6.6540872230267875E-4</v>
      </c>
      <c r="U106">
        <f t="shared" si="23"/>
        <v>200</v>
      </c>
      <c r="V106">
        <f t="shared" si="18"/>
        <v>15.969603986276875</v>
      </c>
      <c r="W106">
        <f t="shared" si="19"/>
        <v>6.6540872230267875E-4</v>
      </c>
    </row>
  </sheetData>
  <mergeCells count="4">
    <mergeCell ref="A4:E4"/>
    <mergeCell ref="G4:K4"/>
    <mergeCell ref="M4:Q4"/>
    <mergeCell ref="S4:W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CALL</vt:lpstr>
      <vt:lpstr>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dcterms:created xsi:type="dcterms:W3CDTF">2018-01-28T13:57:50Z</dcterms:created>
  <dcterms:modified xsi:type="dcterms:W3CDTF">2018-01-28T16:01:26Z</dcterms:modified>
</cp:coreProperties>
</file>